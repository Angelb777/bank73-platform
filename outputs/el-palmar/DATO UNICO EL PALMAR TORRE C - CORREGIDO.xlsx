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arolinasoto/Library/CloudStorage/Box-Box/PH EL PALMAR/3. LEGAL THE PALMS/DATO ÚNICO THE PALMS/"/>
    </mc:Choice>
  </mc:AlternateContent>
  <xr:revisionPtr revIDLastSave="0" documentId="13_ncr:1_{5B0BAED9-512C-7345-B973-419DD8D6A3B2}" xr6:coauthVersionLast="47" xr6:coauthVersionMax="47" xr10:uidLastSave="{00000000-0000-0000-0000-000000000000}"/>
  <bookViews>
    <workbookView xWindow="10940" yWindow="520" windowWidth="17020" windowHeight="14120" activeTab="1" xr2:uid="{876A9E44-1A42-C542-8377-FF1FF7F86E1F}"/>
  </bookViews>
  <sheets>
    <sheet name="LISTA PRECIOS" sheetId="3" r:id="rId1"/>
    <sheet name="BASE DATOS" sheetId="1" r:id="rId2"/>
    <sheet name="ABONOS" sheetId="9" r:id="rId3"/>
    <sheet name="DESISTIDOS" sheetId="2" r:id="rId4"/>
    <sheet name="GRAFICAS INFORMES" sheetId="10" r:id="rId5"/>
  </sheets>
  <definedNames>
    <definedName name="_xlnm._FilterDatabase" localSheetId="1" hidden="1">'BASE DATOS'!$A$1:$CT$61</definedName>
    <definedName name="_xlnm._FilterDatabase" localSheetId="3" hidden="1">DESISTIDOS!$A$1:$N$59</definedName>
    <definedName name="_xlnm._FilterDatabase" localSheetId="0" hidden="1">'LISTA PRECIOS'!$C$1:$C$60</definedName>
    <definedName name="AÑO">#REF!</definedName>
    <definedName name="AÑOVENTA">#REF!</definedName>
    <definedName name="BANCO">#REF!</definedName>
    <definedName name="CONTRATO">#REF!</definedName>
    <definedName name="MES">#REF!</definedName>
    <definedName name="MINUTAS">#REF!</definedName>
    <definedName name="PAZYSALVO">#REF!</definedName>
    <definedName name="PROTOCOLO">#REF!</definedName>
    <definedName name="RESIDENCIA">#REF!</definedName>
    <definedName name="RESIDENCIA2">#REF!</definedName>
    <definedName name="SINOPF">#REF!</definedName>
    <definedName name="STATUS">#REF!</definedName>
    <definedName name="STATUSBANCO">#REF!</definedName>
    <definedName name="VENDEDOR">#REF!</definedName>
  </definedNames>
  <calcPr calcId="191029" fullCalcOnLoad="1" forceFullCalc="1" calcMode="auto"/>
  <pivotCaches>
    <pivotCache cacheId="5" r:id="rId6"/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70" i="1" l="1"/>
  <c r="BC70" i="1"/>
  <c r="AX70" i="1" a="1"/>
  <c r="AX70" i="1" s="1"/>
  <c r="AW70" i="1"/>
  <c r="AS70" i="1"/>
  <c r="AH70" i="1" a="1"/>
  <c r="AH70" i="1" s="1"/>
  <c r="AG70" i="1"/>
  <c r="AE70" i="1"/>
  <c r="AD70" i="1"/>
  <c r="AC70" i="1" s="1"/>
  <c r="X70" i="1"/>
  <c r="V70" i="1"/>
  <c r="AE55" i="1"/>
  <c r="BP40" i="1"/>
  <c r="AV40" i="1"/>
  <c r="BP2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AN54" i="1"/>
  <c r="AE54" i="1"/>
  <c r="AE39" i="1"/>
  <c r="AE45" i="1"/>
  <c r="AE42" i="1"/>
  <c r="AE40" i="1"/>
  <c r="AE41" i="1"/>
  <c r="AE43" i="1" l="1"/>
  <c r="AE44" i="1"/>
  <c r="AE38" i="1" l="1"/>
  <c r="AD2" i="1"/>
  <c r="AD3" i="1"/>
  <c r="AD4" i="1"/>
  <c r="AC4" i="1" s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E49" i="1" l="1"/>
  <c r="AN16" i="1" l="1"/>
  <c r="AF50" i="1" l="1"/>
  <c r="AE21" i="1"/>
  <c r="C22" i="9"/>
  <c r="AS56" i="1"/>
  <c r="C13" i="10" l="1"/>
  <c r="F13" i="10"/>
  <c r="E13" i="10"/>
  <c r="AE56" i="1"/>
  <c r="V60" i="9" l="1"/>
  <c r="AE16" i="1"/>
  <c r="AF19" i="1" l="1"/>
  <c r="AF27" i="1"/>
  <c r="AE27" i="1" s="1"/>
  <c r="AF26" i="1"/>
  <c r="AE28" i="1"/>
  <c r="D22" i="10" l="1"/>
  <c r="D21" i="10"/>
  <c r="D20" i="10"/>
  <c r="D19" i="10"/>
  <c r="C22" i="10"/>
  <c r="C21" i="10"/>
  <c r="C20" i="10"/>
  <c r="C19" i="10"/>
  <c r="C23" i="10" l="1"/>
  <c r="D23" i="10"/>
  <c r="E19" i="10"/>
  <c r="E20" i="10"/>
  <c r="E21" i="10"/>
  <c r="E22" i="10"/>
  <c r="E12" i="10"/>
  <c r="F12" i="10"/>
  <c r="F11" i="10"/>
  <c r="E11" i="10"/>
  <c r="C12" i="10"/>
  <c r="C11" i="10"/>
  <c r="E3" i="10"/>
  <c r="F3" i="10"/>
  <c r="G3" i="10"/>
  <c r="E4" i="10"/>
  <c r="F4" i="10"/>
  <c r="G4" i="10"/>
  <c r="D3" i="10"/>
  <c r="D4" i="10"/>
  <c r="C4" i="10"/>
  <c r="C3" i="10"/>
  <c r="G2" i="10"/>
  <c r="F2" i="10"/>
  <c r="E2" i="10"/>
  <c r="D2" i="10"/>
  <c r="C2" i="10"/>
  <c r="M28" i="9"/>
  <c r="M29" i="9"/>
  <c r="M30" i="9"/>
  <c r="M31" i="9"/>
  <c r="M35" i="9"/>
  <c r="E23" i="10" l="1"/>
  <c r="C5" i="10"/>
  <c r="C6" i="10" s="1"/>
  <c r="E5" i="10"/>
  <c r="E6" i="10" s="1"/>
  <c r="F5" i="10"/>
  <c r="F6" i="10" s="1"/>
  <c r="H4" i="10"/>
  <c r="G5" i="10"/>
  <c r="G6" i="10" s="1"/>
  <c r="D5" i="10"/>
  <c r="D6" i="10" s="1"/>
  <c r="E14" i="10"/>
  <c r="F14" i="10"/>
  <c r="H2" i="10"/>
  <c r="C14" i="10"/>
  <c r="D14" i="10" s="1"/>
  <c r="H3" i="10"/>
  <c r="AC32" i="1"/>
  <c r="AC33" i="1"/>
  <c r="AC34" i="1"/>
  <c r="AC35" i="1"/>
  <c r="AC36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21" i="1"/>
  <c r="AC25" i="1"/>
  <c r="AC26" i="1"/>
  <c r="AC27" i="1"/>
  <c r="AC28" i="1"/>
  <c r="AC29" i="1"/>
  <c r="AC30" i="1"/>
  <c r="AC31" i="1"/>
  <c r="AC9" i="1"/>
  <c r="AC11" i="1"/>
  <c r="AC14" i="1"/>
  <c r="AC15" i="1"/>
  <c r="AC16" i="1"/>
  <c r="AC18" i="1"/>
  <c r="AC19" i="1"/>
  <c r="AC3" i="1"/>
  <c r="AC5" i="1"/>
  <c r="H5" i="10" l="1"/>
  <c r="H6" i="10" s="1"/>
  <c r="J5" i="10"/>
  <c r="D11" i="10"/>
  <c r="D12" i="10"/>
  <c r="D13" i="10"/>
  <c r="AF34" i="1"/>
  <c r="J28" i="9" l="1"/>
  <c r="J39" i="9"/>
  <c r="J40" i="9"/>
  <c r="J41" i="9"/>
  <c r="J42" i="9"/>
  <c r="J43" i="9"/>
  <c r="J44" i="9"/>
  <c r="J45" i="9"/>
  <c r="J46" i="9"/>
  <c r="J49" i="9"/>
  <c r="J50" i="9"/>
  <c r="J53" i="9"/>
  <c r="J55" i="9"/>
  <c r="J56" i="9"/>
  <c r="J57" i="9"/>
  <c r="J58" i="9"/>
  <c r="J59" i="9"/>
  <c r="G40" i="9"/>
  <c r="G42" i="9"/>
  <c r="G43" i="9"/>
  <c r="G45" i="9"/>
  <c r="G46" i="9"/>
  <c r="G49" i="9"/>
  <c r="G50" i="9"/>
  <c r="G53" i="9"/>
  <c r="G55" i="9"/>
  <c r="G56" i="9"/>
  <c r="G57" i="9"/>
  <c r="G58" i="9"/>
  <c r="G59" i="9"/>
  <c r="AF51" i="1" l="1"/>
  <c r="J52" i="9" s="1"/>
  <c r="AF30" i="1"/>
  <c r="J22" i="9"/>
  <c r="AF17" i="1"/>
  <c r="AF11" i="1"/>
  <c r="AF10" i="1"/>
  <c r="AF4" i="1"/>
  <c r="J17" i="9" s="1"/>
  <c r="AF46" i="1"/>
  <c r="AF53" i="1"/>
  <c r="AF47" i="1"/>
  <c r="AF36" i="1"/>
  <c r="AF35" i="1"/>
  <c r="J20" i="9" s="1"/>
  <c r="AF33" i="1"/>
  <c r="AF32" i="1"/>
  <c r="J16" i="9" s="1"/>
  <c r="AF31" i="1"/>
  <c r="AF18" i="1"/>
  <c r="AF14" i="1"/>
  <c r="AE9" i="1"/>
  <c r="AF3" i="1"/>
  <c r="AE51" i="1" l="1"/>
  <c r="G52" i="9" s="1"/>
  <c r="AE15" i="1"/>
  <c r="AE25" i="1"/>
  <c r="G26" i="9" s="1"/>
  <c r="J26" i="9"/>
  <c r="AE33" i="1"/>
  <c r="J34" i="9"/>
  <c r="AE46" i="1"/>
  <c r="G47" i="9" s="1"/>
  <c r="J47" i="9"/>
  <c r="AE50" i="1"/>
  <c r="G51" i="9" s="1"/>
  <c r="J51" i="9"/>
  <c r="AE5" i="1"/>
  <c r="G6" i="9" s="1"/>
  <c r="J6" i="9"/>
  <c r="AE4" i="1"/>
  <c r="J5" i="9"/>
  <c r="AE26" i="1"/>
  <c r="J27" i="9"/>
  <c r="AE31" i="1"/>
  <c r="J32" i="9"/>
  <c r="AE53" i="1"/>
  <c r="G54" i="9" s="1"/>
  <c r="J54" i="9"/>
  <c r="AE32" i="1"/>
  <c r="G33" i="9" s="1"/>
  <c r="J33" i="9"/>
  <c r="AE29" i="1"/>
  <c r="J30" i="9"/>
  <c r="AE35" i="1"/>
  <c r="G36" i="9" s="1"/>
  <c r="J36" i="9"/>
  <c r="AE30" i="1"/>
  <c r="G31" i="9" s="1"/>
  <c r="J31" i="9"/>
  <c r="AE36" i="1"/>
  <c r="G37" i="9" s="1"/>
  <c r="J37" i="9"/>
  <c r="AE14" i="1"/>
  <c r="G15" i="9" s="1"/>
  <c r="J15" i="9"/>
  <c r="AE47" i="1"/>
  <c r="G48" i="9" s="1"/>
  <c r="J48" i="9"/>
  <c r="AE11" i="1"/>
  <c r="AE18" i="1"/>
  <c r="G19" i="9" s="1"/>
  <c r="J19" i="9"/>
  <c r="J18" i="9"/>
  <c r="AE3" i="1"/>
  <c r="J4" i="9"/>
  <c r="G27" i="9" l="1"/>
  <c r="G28" i="9"/>
  <c r="G16" i="9"/>
  <c r="G5" i="9"/>
  <c r="G17" i="9"/>
  <c r="G30" i="9"/>
  <c r="AS33" i="1"/>
  <c r="E4" i="3"/>
  <c r="E5" i="3"/>
  <c r="E6" i="3"/>
  <c r="E7" i="3"/>
  <c r="E8" i="3"/>
  <c r="E9" i="3"/>
  <c r="E10" i="3"/>
  <c r="E11" i="3"/>
  <c r="E12" i="3"/>
  <c r="E13" i="3"/>
  <c r="E3" i="3"/>
  <c r="E16" i="3"/>
  <c r="E17" i="3"/>
  <c r="E19" i="3"/>
  <c r="E20" i="3"/>
  <c r="E21" i="3"/>
  <c r="E22" i="3"/>
  <c r="E23" i="3"/>
  <c r="E24" i="3"/>
  <c r="E25" i="3"/>
  <c r="E14" i="3"/>
  <c r="E27" i="3"/>
  <c r="E28" i="3"/>
  <c r="E29" i="3"/>
  <c r="E31" i="3"/>
  <c r="E32" i="3"/>
  <c r="E33" i="3"/>
  <c r="E34" i="3"/>
  <c r="E36" i="3"/>
  <c r="E37" i="3"/>
  <c r="E39" i="3"/>
  <c r="E40" i="3"/>
  <c r="E41" i="3"/>
  <c r="E43" i="3"/>
  <c r="E51" i="3"/>
  <c r="E52" i="3"/>
  <c r="AS30" i="1" l="1"/>
  <c r="AS15" i="1"/>
  <c r="K22" i="9" l="1"/>
  <c r="L22" i="9" s="1"/>
  <c r="W22" i="9"/>
  <c r="V37" i="1" l="1"/>
  <c r="X37" i="1"/>
  <c r="AA37" i="1" s="1"/>
  <c r="AC37" i="1" s="1"/>
  <c r="S60" i="9"/>
  <c r="E15" i="3" l="1"/>
  <c r="AF37" i="1"/>
  <c r="AS37" i="1"/>
  <c r="M4" i="9"/>
  <c r="M5" i="9"/>
  <c r="M6" i="9"/>
  <c r="M7" i="9"/>
  <c r="M8" i="9"/>
  <c r="M9" i="9"/>
  <c r="M10" i="9"/>
  <c r="M12" i="9"/>
  <c r="M13" i="9"/>
  <c r="M16" i="9"/>
  <c r="M19" i="9"/>
  <c r="M20" i="9"/>
  <c r="M21" i="9"/>
  <c r="M22" i="9"/>
  <c r="M23" i="9"/>
  <c r="M24" i="9"/>
  <c r="M25" i="9"/>
  <c r="M26" i="9"/>
  <c r="M37" i="9"/>
  <c r="M38" i="9"/>
  <c r="M39" i="9"/>
  <c r="M40" i="9"/>
  <c r="M41" i="9"/>
  <c r="M42" i="9"/>
  <c r="M43" i="9"/>
  <c r="M44" i="9"/>
  <c r="M45" i="9"/>
  <c r="M46" i="9"/>
  <c r="M49" i="9"/>
  <c r="M50" i="9"/>
  <c r="M53" i="9"/>
  <c r="M54" i="9"/>
  <c r="M55" i="9"/>
  <c r="M56" i="9"/>
  <c r="M57" i="9"/>
  <c r="M58" i="9"/>
  <c r="M59" i="9"/>
  <c r="M3" i="9"/>
  <c r="AE37" i="1" l="1"/>
  <c r="J38" i="9"/>
  <c r="P60" i="9"/>
  <c r="M60" i="9"/>
  <c r="G38" i="9" l="1"/>
  <c r="D5" i="9" l="1"/>
  <c r="D6" i="9"/>
  <c r="D15" i="9"/>
  <c r="D16" i="9"/>
  <c r="D19" i="9"/>
  <c r="D26" i="9"/>
  <c r="D27" i="9"/>
  <c r="D31" i="9"/>
  <c r="D32" i="9"/>
  <c r="D33" i="9"/>
  <c r="D35" i="9"/>
  <c r="D36" i="9"/>
  <c r="D37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C25" i="9"/>
  <c r="W25" i="9" s="1"/>
  <c r="C26" i="9"/>
  <c r="W26" i="9" s="1"/>
  <c r="C27" i="9"/>
  <c r="W27" i="9" s="1"/>
  <c r="C28" i="9"/>
  <c r="W28" i="9" s="1"/>
  <c r="C29" i="9"/>
  <c r="W29" i="9" s="1"/>
  <c r="C30" i="9"/>
  <c r="W30" i="9" s="1"/>
  <c r="C31" i="9"/>
  <c r="W31" i="9" s="1"/>
  <c r="C32" i="9"/>
  <c r="W32" i="9" s="1"/>
  <c r="C33" i="9"/>
  <c r="W33" i="9" s="1"/>
  <c r="C34" i="9"/>
  <c r="W34" i="9" s="1"/>
  <c r="C35" i="9"/>
  <c r="W35" i="9" s="1"/>
  <c r="C36" i="9"/>
  <c r="W36" i="9" s="1"/>
  <c r="C37" i="9"/>
  <c r="W37" i="9" s="1"/>
  <c r="C38" i="9"/>
  <c r="W38" i="9" s="1"/>
  <c r="C39" i="9"/>
  <c r="W39" i="9" s="1"/>
  <c r="C40" i="9"/>
  <c r="W40" i="9" s="1"/>
  <c r="C41" i="9"/>
  <c r="W41" i="9" s="1"/>
  <c r="C42" i="9"/>
  <c r="W42" i="9" s="1"/>
  <c r="C43" i="9"/>
  <c r="W43" i="9" s="1"/>
  <c r="C44" i="9"/>
  <c r="W44" i="9" s="1"/>
  <c r="C45" i="9"/>
  <c r="W45" i="9" s="1"/>
  <c r="C46" i="9"/>
  <c r="W46" i="9" s="1"/>
  <c r="C47" i="9"/>
  <c r="W47" i="9" s="1"/>
  <c r="C48" i="9"/>
  <c r="W48" i="9" s="1"/>
  <c r="C49" i="9"/>
  <c r="W49" i="9" s="1"/>
  <c r="C50" i="9"/>
  <c r="W50" i="9" s="1"/>
  <c r="C51" i="9"/>
  <c r="W51" i="9" s="1"/>
  <c r="C52" i="9"/>
  <c r="W52" i="9" s="1"/>
  <c r="C53" i="9"/>
  <c r="W53" i="9" s="1"/>
  <c r="C54" i="9"/>
  <c r="W54" i="9" s="1"/>
  <c r="C55" i="9"/>
  <c r="W55" i="9" s="1"/>
  <c r="C56" i="9"/>
  <c r="W56" i="9" s="1"/>
  <c r="C57" i="9"/>
  <c r="W57" i="9" s="1"/>
  <c r="C58" i="9"/>
  <c r="W58" i="9" s="1"/>
  <c r="C59" i="9"/>
  <c r="W59" i="9" s="1"/>
  <c r="C4" i="9"/>
  <c r="W4" i="9" s="1"/>
  <c r="C5" i="9"/>
  <c r="W5" i="9" s="1"/>
  <c r="C6" i="9"/>
  <c r="W6" i="9" s="1"/>
  <c r="C7" i="9"/>
  <c r="W7" i="9" s="1"/>
  <c r="C8" i="9"/>
  <c r="W8" i="9" s="1"/>
  <c r="C9" i="9"/>
  <c r="W9" i="9" s="1"/>
  <c r="C10" i="9"/>
  <c r="W10" i="9" s="1"/>
  <c r="C11" i="9"/>
  <c r="W11" i="9" s="1"/>
  <c r="C12" i="9"/>
  <c r="W12" i="9" s="1"/>
  <c r="C13" i="9"/>
  <c r="W13" i="9" s="1"/>
  <c r="C14" i="9"/>
  <c r="W14" i="9" s="1"/>
  <c r="C15" i="9"/>
  <c r="W15" i="9" s="1"/>
  <c r="C16" i="9"/>
  <c r="W16" i="9" s="1"/>
  <c r="C17" i="9"/>
  <c r="W17" i="9" s="1"/>
  <c r="C18" i="9"/>
  <c r="W18" i="9" s="1"/>
  <c r="C19" i="9"/>
  <c r="W19" i="9" s="1"/>
  <c r="C20" i="9"/>
  <c r="W20" i="9" s="1"/>
  <c r="C21" i="9"/>
  <c r="W21" i="9" s="1"/>
  <c r="C23" i="9"/>
  <c r="W23" i="9" s="1"/>
  <c r="C24" i="9"/>
  <c r="W24" i="9" s="1"/>
  <c r="N53" i="9" l="1"/>
  <c r="O53" i="9" s="1"/>
  <c r="AW52" i="1" s="1"/>
  <c r="AX52" i="1" s="1" a="1"/>
  <c r="AX52" i="1" s="1"/>
  <c r="T53" i="9"/>
  <c r="U53" i="9" s="1"/>
  <c r="Q53" i="9"/>
  <c r="N22" i="9"/>
  <c r="Q22" i="9"/>
  <c r="T22" i="9"/>
  <c r="U22" i="9" s="1"/>
  <c r="N47" i="9"/>
  <c r="Q47" i="9"/>
  <c r="T47" i="9"/>
  <c r="U47" i="9" s="1"/>
  <c r="N13" i="9"/>
  <c r="T13" i="9"/>
  <c r="U13" i="9" s="1"/>
  <c r="Q13" i="9"/>
  <c r="N52" i="9"/>
  <c r="O52" i="9" s="1"/>
  <c r="AW51" i="1" s="1"/>
  <c r="AX51" i="1" s="1" a="1"/>
  <c r="AX51" i="1" s="1"/>
  <c r="T52" i="9"/>
  <c r="U52" i="9" s="1"/>
  <c r="Q52" i="9"/>
  <c r="N44" i="9"/>
  <c r="T44" i="9"/>
  <c r="U44" i="9" s="1"/>
  <c r="Q44" i="9"/>
  <c r="N36" i="9"/>
  <c r="T36" i="9"/>
  <c r="U36" i="9" s="1"/>
  <c r="Q36" i="9"/>
  <c r="N28" i="9"/>
  <c r="T28" i="9"/>
  <c r="U28" i="9" s="1"/>
  <c r="Q28" i="9"/>
  <c r="N18" i="9"/>
  <c r="T18" i="9"/>
  <c r="U18" i="9" s="1"/>
  <c r="Q18" i="9"/>
  <c r="N10" i="9"/>
  <c r="T10" i="9"/>
  <c r="U10" i="9" s="1"/>
  <c r="Q10" i="9"/>
  <c r="N59" i="9"/>
  <c r="O59" i="9" s="1"/>
  <c r="AW58" i="1" s="1"/>
  <c r="AX58" i="1" s="1" a="1"/>
  <c r="AX58" i="1" s="1"/>
  <c r="T59" i="9"/>
  <c r="U59" i="9" s="1"/>
  <c r="Q59" i="9"/>
  <c r="N51" i="9"/>
  <c r="O51" i="9" s="1"/>
  <c r="AW50" i="1" s="1"/>
  <c r="AX50" i="1" s="1" a="1"/>
  <c r="AX50" i="1" s="1"/>
  <c r="Q51" i="9"/>
  <c r="T51" i="9"/>
  <c r="U51" i="9" s="1"/>
  <c r="N43" i="9"/>
  <c r="Q43" i="9"/>
  <c r="T43" i="9"/>
  <c r="U43" i="9" s="1"/>
  <c r="N35" i="9"/>
  <c r="Q35" i="9"/>
  <c r="T35" i="9"/>
  <c r="U35" i="9" s="1"/>
  <c r="N27" i="9"/>
  <c r="Q27" i="9"/>
  <c r="T27" i="9"/>
  <c r="U27" i="9" s="1"/>
  <c r="N55" i="9"/>
  <c r="O55" i="9" s="1"/>
  <c r="AW54" i="1" s="1"/>
  <c r="AX54" i="1" s="1" a="1"/>
  <c r="AX54" i="1" s="1"/>
  <c r="T55" i="9"/>
  <c r="U55" i="9" s="1"/>
  <c r="Q55" i="9"/>
  <c r="N21" i="9"/>
  <c r="T21" i="9"/>
  <c r="U21" i="9" s="1"/>
  <c r="Q21" i="9"/>
  <c r="N30" i="9"/>
  <c r="Q30" i="9"/>
  <c r="T30" i="9"/>
  <c r="U30" i="9" s="1"/>
  <c r="N12" i="9"/>
  <c r="T12" i="9"/>
  <c r="U12" i="9" s="1"/>
  <c r="Q12" i="9"/>
  <c r="N37" i="9"/>
  <c r="T37" i="9"/>
  <c r="U37" i="9" s="1"/>
  <c r="Q37" i="9"/>
  <c r="N9" i="9"/>
  <c r="T9" i="9"/>
  <c r="U9" i="9" s="1"/>
  <c r="Q9" i="9"/>
  <c r="N42" i="9"/>
  <c r="Q42" i="9"/>
  <c r="T42" i="9"/>
  <c r="U42" i="9" s="1"/>
  <c r="N34" i="9"/>
  <c r="T34" i="9"/>
  <c r="U34" i="9" s="1"/>
  <c r="Q34" i="9"/>
  <c r="N26" i="9"/>
  <c r="Q26" i="9"/>
  <c r="T26" i="9"/>
  <c r="U26" i="9" s="1"/>
  <c r="N14" i="9"/>
  <c r="T14" i="9"/>
  <c r="U14" i="9" s="1"/>
  <c r="Q14" i="9"/>
  <c r="N39" i="9"/>
  <c r="Q39" i="9"/>
  <c r="T39" i="9"/>
  <c r="U39" i="9" s="1"/>
  <c r="N11" i="9"/>
  <c r="Q11" i="9"/>
  <c r="T11" i="9"/>
  <c r="U11" i="9" s="1"/>
  <c r="N16" i="9"/>
  <c r="Q16" i="9"/>
  <c r="T16" i="9"/>
  <c r="U16" i="9" s="1"/>
  <c r="N33" i="9"/>
  <c r="Q33" i="9"/>
  <c r="T33" i="9"/>
  <c r="U33" i="9" s="1"/>
  <c r="N6" i="9"/>
  <c r="T6" i="9"/>
  <c r="U6" i="9" s="1"/>
  <c r="Q6" i="9"/>
  <c r="N31" i="9"/>
  <c r="T31" i="9"/>
  <c r="U31" i="9" s="1"/>
  <c r="Q31" i="9"/>
  <c r="N5" i="9"/>
  <c r="T5" i="9"/>
  <c r="U5" i="9" s="1"/>
  <c r="Q5" i="9"/>
  <c r="N46" i="9"/>
  <c r="T46" i="9"/>
  <c r="U46" i="9" s="1"/>
  <c r="Q46" i="9"/>
  <c r="N38" i="9"/>
  <c r="T38" i="9"/>
  <c r="U38" i="9" s="1"/>
  <c r="Q38" i="9"/>
  <c r="N20" i="9"/>
  <c r="T20" i="9"/>
  <c r="U20" i="9" s="1"/>
  <c r="Q20" i="9"/>
  <c r="N4" i="9"/>
  <c r="T4" i="9"/>
  <c r="U4" i="9" s="1"/>
  <c r="Q4" i="9"/>
  <c r="N45" i="9"/>
  <c r="T45" i="9"/>
  <c r="U45" i="9" s="1"/>
  <c r="Q45" i="9"/>
  <c r="N29" i="9"/>
  <c r="T29" i="9"/>
  <c r="U29" i="9" s="1"/>
  <c r="Q29" i="9"/>
  <c r="N19" i="9"/>
  <c r="Q19" i="9"/>
  <c r="T19" i="9"/>
  <c r="U19" i="9" s="1"/>
  <c r="N17" i="9"/>
  <c r="T17" i="9"/>
  <c r="U17" i="9" s="1"/>
  <c r="Q17" i="9"/>
  <c r="N58" i="9"/>
  <c r="O58" i="9" s="1"/>
  <c r="AW57" i="1" s="1"/>
  <c r="AX57" i="1" s="1" a="1"/>
  <c r="AX57" i="1" s="1"/>
  <c r="Q58" i="9"/>
  <c r="T58" i="9"/>
  <c r="U58" i="9" s="1"/>
  <c r="N50" i="9"/>
  <c r="T50" i="9"/>
  <c r="U50" i="9" s="1"/>
  <c r="Q50" i="9"/>
  <c r="N24" i="9"/>
  <c r="Q24" i="9"/>
  <c r="T24" i="9"/>
  <c r="U24" i="9" s="1"/>
  <c r="N8" i="9"/>
  <c r="Q8" i="9"/>
  <c r="T8" i="9"/>
  <c r="U8" i="9" s="1"/>
  <c r="N57" i="9"/>
  <c r="O57" i="9" s="1"/>
  <c r="AW56" i="1" s="1"/>
  <c r="AX56" i="1" s="1" a="1"/>
  <c r="AX56" i="1" s="1"/>
  <c r="Q57" i="9"/>
  <c r="T57" i="9"/>
  <c r="U57" i="9" s="1"/>
  <c r="N49" i="9"/>
  <c r="T49" i="9"/>
  <c r="U49" i="9" s="1"/>
  <c r="Q49" i="9"/>
  <c r="N41" i="9"/>
  <c r="T41" i="9"/>
  <c r="U41" i="9" s="1"/>
  <c r="Q41" i="9"/>
  <c r="N25" i="9"/>
  <c r="T25" i="9"/>
  <c r="U25" i="9" s="1"/>
  <c r="Q25" i="9"/>
  <c r="N23" i="9"/>
  <c r="T23" i="9"/>
  <c r="U23" i="9" s="1"/>
  <c r="Q23" i="9"/>
  <c r="N15" i="9"/>
  <c r="T15" i="9"/>
  <c r="U15" i="9" s="1"/>
  <c r="Q15" i="9"/>
  <c r="N7" i="9"/>
  <c r="T7" i="9"/>
  <c r="U7" i="9" s="1"/>
  <c r="Q7" i="9"/>
  <c r="N56" i="9"/>
  <c r="O56" i="9" s="1"/>
  <c r="AW55" i="1" s="1"/>
  <c r="AX55" i="1" s="1" a="1"/>
  <c r="AX55" i="1" s="1"/>
  <c r="Q56" i="9"/>
  <c r="T56" i="9"/>
  <c r="U56" i="9" s="1"/>
  <c r="N48" i="9"/>
  <c r="T48" i="9"/>
  <c r="U48" i="9" s="1"/>
  <c r="Q48" i="9"/>
  <c r="N40" i="9"/>
  <c r="Q40" i="9"/>
  <c r="T40" i="9"/>
  <c r="U40" i="9" s="1"/>
  <c r="N32" i="9"/>
  <c r="Q32" i="9"/>
  <c r="T32" i="9"/>
  <c r="U32" i="9" s="1"/>
  <c r="N54" i="9"/>
  <c r="T54" i="9"/>
  <c r="Q54" i="9"/>
  <c r="H29" i="9"/>
  <c r="K29" i="9"/>
  <c r="H37" i="9"/>
  <c r="K37" i="9"/>
  <c r="L37" i="9" s="1"/>
  <c r="H28" i="9"/>
  <c r="K28" i="9"/>
  <c r="L28" i="9" s="1"/>
  <c r="H20" i="9"/>
  <c r="K20" i="9"/>
  <c r="H53" i="9"/>
  <c r="K53" i="9"/>
  <c r="L53" i="9" s="1"/>
  <c r="H11" i="9"/>
  <c r="K11" i="9"/>
  <c r="H18" i="9"/>
  <c r="K18" i="9"/>
  <c r="L18" i="9" s="1"/>
  <c r="H51" i="9"/>
  <c r="K51" i="9"/>
  <c r="L51" i="9" s="1"/>
  <c r="H17" i="9"/>
  <c r="K17" i="9"/>
  <c r="H50" i="9"/>
  <c r="K50" i="9"/>
  <c r="L50" i="9" s="1"/>
  <c r="H36" i="9"/>
  <c r="K36" i="9"/>
  <c r="H27" i="9"/>
  <c r="K27" i="9"/>
  <c r="L27" i="9" s="1"/>
  <c r="H9" i="9"/>
  <c r="K9" i="9"/>
  <c r="H34" i="9"/>
  <c r="K34" i="9"/>
  <c r="H16" i="9"/>
  <c r="K16" i="9"/>
  <c r="L16" i="9" s="1"/>
  <c r="H57" i="9"/>
  <c r="K57" i="9"/>
  <c r="L57" i="9" s="1"/>
  <c r="H49" i="9"/>
  <c r="K49" i="9"/>
  <c r="L49" i="9" s="1"/>
  <c r="H41" i="9"/>
  <c r="K41" i="9"/>
  <c r="L41" i="9" s="1"/>
  <c r="H33" i="9"/>
  <c r="K33" i="9"/>
  <c r="H25" i="9"/>
  <c r="K25" i="9"/>
  <c r="H10" i="9"/>
  <c r="K10" i="9"/>
  <c r="H26" i="9"/>
  <c r="K26" i="9"/>
  <c r="H15" i="9"/>
  <c r="K15" i="9"/>
  <c r="H56" i="9"/>
  <c r="K56" i="9"/>
  <c r="L56" i="9" s="1"/>
  <c r="H48" i="9"/>
  <c r="K48" i="9"/>
  <c r="H40" i="9"/>
  <c r="K40" i="9"/>
  <c r="L40" i="9" s="1"/>
  <c r="H32" i="9"/>
  <c r="K32" i="9"/>
  <c r="L32" i="9" s="1"/>
  <c r="H4" i="9"/>
  <c r="K4" i="9"/>
  <c r="H52" i="9"/>
  <c r="K52" i="9"/>
  <c r="L52" i="9" s="1"/>
  <c r="H59" i="9"/>
  <c r="K59" i="9"/>
  <c r="L59" i="9" s="1"/>
  <c r="H43" i="9"/>
  <c r="K43" i="9"/>
  <c r="L43" i="9" s="1"/>
  <c r="H42" i="9"/>
  <c r="K42" i="9"/>
  <c r="L42" i="9" s="1"/>
  <c r="H23" i="9"/>
  <c r="K23" i="9"/>
  <c r="H7" i="9"/>
  <c r="K7" i="9"/>
  <c r="H14" i="9"/>
  <c r="K14" i="9"/>
  <c r="H6" i="9"/>
  <c r="K6" i="9"/>
  <c r="H55" i="9"/>
  <c r="K55" i="9"/>
  <c r="L55" i="9" s="1"/>
  <c r="H47" i="9"/>
  <c r="K47" i="9"/>
  <c r="H39" i="9"/>
  <c r="K39" i="9"/>
  <c r="L39" i="9" s="1"/>
  <c r="H31" i="9"/>
  <c r="K31" i="9"/>
  <c r="L31" i="9" s="1"/>
  <c r="H12" i="9"/>
  <c r="K12" i="9"/>
  <c r="H45" i="9"/>
  <c r="K45" i="9"/>
  <c r="L45" i="9" s="1"/>
  <c r="H19" i="9"/>
  <c r="K19" i="9"/>
  <c r="H44" i="9"/>
  <c r="K44" i="9"/>
  <c r="L44" i="9" s="1"/>
  <c r="H35" i="9"/>
  <c r="K35" i="9"/>
  <c r="H58" i="9"/>
  <c r="K58" i="9"/>
  <c r="L58" i="9" s="1"/>
  <c r="H24" i="9"/>
  <c r="K24" i="9"/>
  <c r="H8" i="9"/>
  <c r="K8" i="9"/>
  <c r="H22" i="9"/>
  <c r="H21" i="9"/>
  <c r="K21" i="9"/>
  <c r="H13" i="9"/>
  <c r="K13" i="9"/>
  <c r="H5" i="9"/>
  <c r="K5" i="9"/>
  <c r="H54" i="9"/>
  <c r="K54" i="9"/>
  <c r="H46" i="9"/>
  <c r="K46" i="9"/>
  <c r="L46" i="9" s="1"/>
  <c r="H38" i="9"/>
  <c r="K38" i="9"/>
  <c r="H30" i="9"/>
  <c r="K30" i="9"/>
  <c r="L30" i="9" s="1"/>
  <c r="C3" i="9"/>
  <c r="W3" i="9" s="1"/>
  <c r="O30" i="9" l="1"/>
  <c r="AW29" i="1" s="1"/>
  <c r="AX29" i="1" s="1" a="1"/>
  <c r="AX29" i="1" s="1"/>
  <c r="I56" i="9"/>
  <c r="E56" i="9" s="1"/>
  <c r="I57" i="9"/>
  <c r="E57" i="9" s="1"/>
  <c r="I51" i="9"/>
  <c r="E51" i="9" s="1"/>
  <c r="I58" i="9"/>
  <c r="E58" i="9" s="1"/>
  <c r="I59" i="9"/>
  <c r="E59" i="9" s="1"/>
  <c r="I55" i="9"/>
  <c r="E55" i="9" s="1"/>
  <c r="I53" i="9"/>
  <c r="E53" i="9" s="1"/>
  <c r="R25" i="9"/>
  <c r="R24" i="9"/>
  <c r="R17" i="9"/>
  <c r="R5" i="9"/>
  <c r="R11" i="9"/>
  <c r="R55" i="9"/>
  <c r="R28" i="9"/>
  <c r="R47" i="9"/>
  <c r="R48" i="9"/>
  <c r="R45" i="9"/>
  <c r="R26" i="9"/>
  <c r="R9" i="9"/>
  <c r="R52" i="9"/>
  <c r="R15" i="9"/>
  <c r="R57" i="9"/>
  <c r="R50" i="9"/>
  <c r="R38" i="9"/>
  <c r="R33" i="9"/>
  <c r="R43" i="9"/>
  <c r="R10" i="9"/>
  <c r="R41" i="9"/>
  <c r="R31" i="9"/>
  <c r="R39" i="9"/>
  <c r="R34" i="9"/>
  <c r="R30" i="9"/>
  <c r="R36" i="9"/>
  <c r="R22" i="9"/>
  <c r="R32" i="9"/>
  <c r="R19" i="9"/>
  <c r="R4" i="9"/>
  <c r="R37" i="9"/>
  <c r="R27" i="9"/>
  <c r="R13" i="9"/>
  <c r="R56" i="9"/>
  <c r="R23" i="9"/>
  <c r="R8" i="9"/>
  <c r="R46" i="9"/>
  <c r="R16" i="9"/>
  <c r="R14" i="9"/>
  <c r="R21" i="9"/>
  <c r="R51" i="9"/>
  <c r="R18" i="9"/>
  <c r="R53" i="9"/>
  <c r="R49" i="9"/>
  <c r="R58" i="9"/>
  <c r="R29" i="9"/>
  <c r="R6" i="9"/>
  <c r="R44" i="9"/>
  <c r="R40" i="9"/>
  <c r="R7" i="9"/>
  <c r="R20" i="9"/>
  <c r="R42" i="9"/>
  <c r="R12" i="9"/>
  <c r="R35" i="9"/>
  <c r="R59" i="9"/>
  <c r="O45" i="9"/>
  <c r="AW44" i="1" s="1"/>
  <c r="AX44" i="1" s="1" a="1"/>
  <c r="AX44" i="1" s="1"/>
  <c r="O41" i="9"/>
  <c r="AW40" i="1" s="1"/>
  <c r="AX40" i="1" s="1" a="1"/>
  <c r="AX40" i="1" s="1"/>
  <c r="O28" i="9"/>
  <c r="AW27" i="1" s="1"/>
  <c r="AX27" i="1" s="1" a="1"/>
  <c r="AX27" i="1" s="1"/>
  <c r="O29" i="9"/>
  <c r="AW28" i="1" s="1"/>
  <c r="AX28" i="1" s="1" a="1"/>
  <c r="AX28" i="1" s="1"/>
  <c r="O40" i="9"/>
  <c r="AX39" i="1" s="1" a="1"/>
  <c r="AX39" i="1" s="1"/>
  <c r="O16" i="9"/>
  <c r="AW15" i="1" s="1"/>
  <c r="AX15" i="1" s="1" a="1"/>
  <c r="AX15" i="1" s="1"/>
  <c r="O39" i="9"/>
  <c r="AW38" i="1" s="1"/>
  <c r="AX38" i="1" s="1" a="1"/>
  <c r="AX38" i="1" s="1"/>
  <c r="O31" i="9"/>
  <c r="AW30" i="1" s="1"/>
  <c r="AX30" i="1" s="1" a="1"/>
  <c r="AX30" i="1" s="1"/>
  <c r="O43" i="9"/>
  <c r="AW42" i="1" s="1"/>
  <c r="AX42" i="1" s="1" a="1"/>
  <c r="AX42" i="1" s="1"/>
  <c r="N3" i="9"/>
  <c r="N60" i="9" s="1"/>
  <c r="T3" i="9"/>
  <c r="U3" i="9" s="1"/>
  <c r="Q3" i="9"/>
  <c r="O44" i="9"/>
  <c r="AW43" i="1" s="1"/>
  <c r="AX43" i="1" s="1" a="1"/>
  <c r="AX43" i="1" s="1"/>
  <c r="R54" i="9"/>
  <c r="U54" i="9"/>
  <c r="O54" i="9"/>
  <c r="AW53" i="1" s="1"/>
  <c r="AX53" i="1" s="1" a="1"/>
  <c r="AX53" i="1" s="1"/>
  <c r="I46" i="9"/>
  <c r="O46" i="9"/>
  <c r="I50" i="9"/>
  <c r="O50" i="9"/>
  <c r="AW49" i="1" s="1"/>
  <c r="AX49" i="1" s="1" a="1"/>
  <c r="AX49" i="1" s="1"/>
  <c r="I42" i="9"/>
  <c r="O42" i="9"/>
  <c r="AW41" i="1" s="1"/>
  <c r="AX41" i="1" s="1" a="1"/>
  <c r="AX41" i="1" s="1"/>
  <c r="H3" i="9"/>
  <c r="K3" i="9"/>
  <c r="I40" i="9"/>
  <c r="I31" i="9"/>
  <c r="I30" i="9"/>
  <c r="I28" i="9"/>
  <c r="I16" i="9"/>
  <c r="I36" i="9"/>
  <c r="I45" i="9"/>
  <c r="I27" i="9"/>
  <c r="I43" i="9"/>
  <c r="AG52" i="1" l="1"/>
  <c r="AH52" i="1" s="1" a="1"/>
  <c r="AH52" i="1" s="1"/>
  <c r="AG54" i="1"/>
  <c r="AH54" i="1" s="1" a="1"/>
  <c r="AH54" i="1" s="1"/>
  <c r="AG58" i="1"/>
  <c r="AH58" i="1" s="1" a="1"/>
  <c r="AH58" i="1" s="1"/>
  <c r="AG57" i="1"/>
  <c r="AH57" i="1" s="1" a="1"/>
  <c r="AH57" i="1" s="1"/>
  <c r="AG50" i="1"/>
  <c r="AH50" i="1" s="1" a="1"/>
  <c r="AH50" i="1" s="1"/>
  <c r="AG56" i="1"/>
  <c r="AH56" i="1" s="1" a="1"/>
  <c r="AH56" i="1" s="1"/>
  <c r="AH55" i="1" a="1"/>
  <c r="AH55" i="1" s="1"/>
  <c r="E30" i="9"/>
  <c r="E50" i="9"/>
  <c r="E45" i="9"/>
  <c r="E31" i="9"/>
  <c r="E40" i="9"/>
  <c r="E46" i="9"/>
  <c r="E27" i="9"/>
  <c r="E28" i="9"/>
  <c r="E16" i="9"/>
  <c r="E43" i="9"/>
  <c r="E42" i="9"/>
  <c r="R3" i="9"/>
  <c r="H60" i="9"/>
  <c r="K60" i="9"/>
  <c r="T60" i="9"/>
  <c r="U60" i="9"/>
  <c r="Q60" i="9"/>
  <c r="AG27" i="1" l="1"/>
  <c r="AH27" i="1" s="1" a="1"/>
  <c r="AH27" i="1" s="1"/>
  <c r="AG42" i="1"/>
  <c r="AH42" i="1" s="1" a="1"/>
  <c r="AH42" i="1" s="1"/>
  <c r="AG45" i="1"/>
  <c r="AG44" i="1"/>
  <c r="AH44" i="1" s="1" a="1"/>
  <c r="AH44" i="1" s="1"/>
  <c r="AG29" i="1"/>
  <c r="AH29" i="1" s="1" a="1"/>
  <c r="AH29" i="1" s="1"/>
  <c r="AG26" i="1"/>
  <c r="AH26" i="1" s="1" a="1"/>
  <c r="AH26" i="1" s="1"/>
  <c r="AG30" i="1"/>
  <c r="AH30" i="1" s="1" a="1"/>
  <c r="AH30" i="1" s="1"/>
  <c r="AG39" i="1"/>
  <c r="AH39" i="1" s="1" a="1"/>
  <c r="AH39" i="1" s="1"/>
  <c r="AG49" i="1"/>
  <c r="AH49" i="1" s="1" a="1"/>
  <c r="AH49" i="1" s="1"/>
  <c r="AG15" i="1"/>
  <c r="AH15" i="1" s="1" a="1"/>
  <c r="AH15" i="1" s="1"/>
  <c r="AG41" i="1"/>
  <c r="AH41" i="1" s="1" a="1"/>
  <c r="AH41" i="1" s="1"/>
  <c r="R60" i="9"/>
  <c r="BC19" i="1" l="1"/>
  <c r="V54" i="1"/>
  <c r="W54" i="1"/>
  <c r="X54" i="1"/>
  <c r="BC54" i="1"/>
  <c r="O17" i="9" l="1"/>
  <c r="AW16" i="1" s="1"/>
  <c r="AX16" i="1" s="1" a="1"/>
  <c r="AX16" i="1" s="1"/>
  <c r="L34" i="9"/>
  <c r="BC15" i="1"/>
  <c r="BC16" i="1"/>
  <c r="BC47" i="1"/>
  <c r="O34" i="9" l="1"/>
  <c r="AW33" i="1" s="1"/>
  <c r="AX33" i="1" s="1" a="1"/>
  <c r="AX33" i="1" s="1"/>
  <c r="AA20" i="1"/>
  <c r="AC20" i="1" s="1"/>
  <c r="AS5" i="1"/>
  <c r="E45" i="3" l="1"/>
  <c r="I48" i="9"/>
  <c r="L48" i="9"/>
  <c r="D21" i="9"/>
  <c r="O48" i="9"/>
  <c r="AW47" i="1" s="1"/>
  <c r="AX47" i="1" s="1" a="1"/>
  <c r="AX47" i="1" s="1"/>
  <c r="I6" i="9"/>
  <c r="L6" i="9"/>
  <c r="E48" i="9" l="1"/>
  <c r="E6" i="9"/>
  <c r="BC5" i="1"/>
  <c r="BC6" i="1"/>
  <c r="AG5" i="1" l="1"/>
  <c r="AH5" i="1" s="1" a="1"/>
  <c r="AH5" i="1" s="1"/>
  <c r="AG47" i="1"/>
  <c r="AH47" i="1" s="1" a="1"/>
  <c r="AH47" i="1" s="1"/>
  <c r="X19" i="1"/>
  <c r="X5" i="1"/>
  <c r="BC53" i="1"/>
  <c r="BC51" i="1"/>
  <c r="BC46" i="1"/>
  <c r="BC37" i="1"/>
  <c r="BC36" i="1"/>
  <c r="BC35" i="1"/>
  <c r="BC34" i="1"/>
  <c r="BC32" i="1"/>
  <c r="BC31" i="1"/>
  <c r="BC26" i="1"/>
  <c r="BC25" i="1"/>
  <c r="BC24" i="1"/>
  <c r="BC23" i="1"/>
  <c r="BC22" i="1"/>
  <c r="BC21" i="1"/>
  <c r="BC20" i="1"/>
  <c r="BC18" i="1"/>
  <c r="BC17" i="1"/>
  <c r="BC14" i="1"/>
  <c r="BC13" i="1"/>
  <c r="BC12" i="1"/>
  <c r="BC11" i="1"/>
  <c r="BC10" i="1"/>
  <c r="BC9" i="1"/>
  <c r="BC8" i="1"/>
  <c r="BC7" i="1"/>
  <c r="BC4" i="1"/>
  <c r="BC3" i="1"/>
  <c r="BC2" i="1"/>
  <c r="BC27" i="1"/>
  <c r="BC28" i="1"/>
  <c r="BC29" i="1"/>
  <c r="BC30" i="1"/>
  <c r="BC33" i="1"/>
  <c r="BC38" i="1"/>
  <c r="BC39" i="1"/>
  <c r="BC40" i="1"/>
  <c r="BC41" i="1"/>
  <c r="BC42" i="1"/>
  <c r="BC43" i="1"/>
  <c r="BC44" i="1"/>
  <c r="BC45" i="1"/>
  <c r="BC48" i="1"/>
  <c r="BC49" i="1"/>
  <c r="BC50" i="1"/>
  <c r="BC52" i="1"/>
  <c r="BC55" i="1"/>
  <c r="BC56" i="1"/>
  <c r="BC57" i="1"/>
  <c r="BC58" i="1"/>
  <c r="F13" i="3"/>
  <c r="I54" i="9"/>
  <c r="J35" i="9"/>
  <c r="L35" i="9" l="1"/>
  <c r="AE34" i="1"/>
  <c r="G44" i="9" s="1"/>
  <c r="I44" i="9" s="1"/>
  <c r="E44" i="9" s="1"/>
  <c r="AG43" i="1" s="1"/>
  <c r="AH43" i="1" s="1" a="1"/>
  <c r="AH43" i="1" s="1"/>
  <c r="E44" i="3"/>
  <c r="D20" i="9"/>
  <c r="AS19" i="1"/>
  <c r="AS53" i="1"/>
  <c r="L54" i="9" s="1"/>
  <c r="E54" i="9" s="1"/>
  <c r="AS34" i="1"/>
  <c r="AS35" i="1"/>
  <c r="AG53" i="1" l="1"/>
  <c r="AH53" i="1" s="1" a="1"/>
  <c r="AH53" i="1" s="1"/>
  <c r="G35" i="9"/>
  <c r="I35" i="9" s="1"/>
  <c r="O6" i="9"/>
  <c r="I37" i="9"/>
  <c r="L36" i="9"/>
  <c r="AS14" i="1"/>
  <c r="E35" i="9" l="1"/>
  <c r="AW5" i="1"/>
  <c r="AX5" i="1" s="1" a="1"/>
  <c r="AX5" i="1" s="1"/>
  <c r="E36" i="9"/>
  <c r="E37" i="9"/>
  <c r="O36" i="9"/>
  <c r="O35" i="9"/>
  <c r="AG36" i="1" l="1"/>
  <c r="AH36" i="1" s="1" a="1"/>
  <c r="AH36" i="1" s="1"/>
  <c r="AG34" i="1"/>
  <c r="AH34" i="1" s="1" a="1"/>
  <c r="AH34" i="1" s="1"/>
  <c r="AG35" i="1"/>
  <c r="AH35" i="1" s="1" a="1"/>
  <c r="AH35" i="1" s="1"/>
  <c r="AW35" i="1"/>
  <c r="AX35" i="1" s="1" a="1"/>
  <c r="AX35" i="1" s="1"/>
  <c r="AW34" i="1"/>
  <c r="AX34" i="1" s="1" a="1"/>
  <c r="AX34" i="1" s="1"/>
  <c r="L4" i="9"/>
  <c r="AS3" i="1" l="1"/>
  <c r="L33" i="9" l="1"/>
  <c r="L26" i="9"/>
  <c r="L19" i="9"/>
  <c r="L5" i="9"/>
  <c r="I5" i="9"/>
  <c r="E5" i="9" l="1"/>
  <c r="I26" i="9"/>
  <c r="I19" i="9"/>
  <c r="I33" i="9"/>
  <c r="I49" i="9"/>
  <c r="O32" i="9"/>
  <c r="AG4" i="1" l="1"/>
  <c r="AH4" i="1" s="1" a="1"/>
  <c r="AH4" i="1" s="1"/>
  <c r="AW31" i="1"/>
  <c r="AX31" i="1" s="1" a="1"/>
  <c r="AX31" i="1" s="1"/>
  <c r="E49" i="9"/>
  <c r="E19" i="9"/>
  <c r="E26" i="9"/>
  <c r="E33" i="9"/>
  <c r="AS26" i="1"/>
  <c r="AG32" i="1" l="1"/>
  <c r="AH32" i="1" s="1" a="1"/>
  <c r="AH32" i="1" s="1"/>
  <c r="AG25" i="1"/>
  <c r="AH25" i="1" s="1" a="1"/>
  <c r="AH25" i="1" s="1"/>
  <c r="AG18" i="1"/>
  <c r="AH18" i="1" s="1" a="1"/>
  <c r="AH18" i="1" s="1"/>
  <c r="AG48" i="1"/>
  <c r="AH48" i="1" s="1" a="1"/>
  <c r="AH48" i="1" s="1"/>
  <c r="AS32" i="1" l="1"/>
  <c r="X32" i="1"/>
  <c r="AS51" i="1" l="1"/>
  <c r="I52" i="9" s="1"/>
  <c r="AS46" i="1"/>
  <c r="AS36" i="1"/>
  <c r="AS25" i="1"/>
  <c r="AS18" i="1"/>
  <c r="AS11" i="1"/>
  <c r="AS9" i="1"/>
  <c r="AS4" i="1"/>
  <c r="X4" i="1"/>
  <c r="X11" i="1"/>
  <c r="X13" i="1"/>
  <c r="X14" i="1"/>
  <c r="X17" i="1"/>
  <c r="AS17" i="1" s="1"/>
  <c r="X18" i="1"/>
  <c r="X25" i="1"/>
  <c r="X33" i="1"/>
  <c r="X36" i="1"/>
  <c r="X46" i="1"/>
  <c r="X51" i="1"/>
  <c r="AC17" i="1" l="1"/>
  <c r="AE17" i="1"/>
  <c r="G18" i="9" s="1"/>
  <c r="I18" i="9" s="1"/>
  <c r="E18" i="9" s="1"/>
  <c r="AG17" i="1" s="1"/>
  <c r="AH17" i="1" s="1" a="1"/>
  <c r="AH17" i="1" s="1"/>
  <c r="E42" i="3"/>
  <c r="D18" i="9"/>
  <c r="E52" i="9"/>
  <c r="O33" i="9"/>
  <c r="AG51" i="1" l="1"/>
  <c r="AH51" i="1" s="1" a="1"/>
  <c r="AH51" i="1" s="1"/>
  <c r="AW32" i="1"/>
  <c r="AX32" i="1" s="1" a="1"/>
  <c r="AX32" i="1" s="1"/>
  <c r="E64" i="3"/>
  <c r="X58" i="1" l="1"/>
  <c r="W58" i="1"/>
  <c r="V58" i="1"/>
  <c r="X57" i="1"/>
  <c r="W57" i="1"/>
  <c r="V57" i="1"/>
  <c r="X56" i="1"/>
  <c r="W56" i="1"/>
  <c r="V56" i="1"/>
  <c r="X55" i="1"/>
  <c r="W55" i="1"/>
  <c r="V55" i="1"/>
  <c r="X53" i="1"/>
  <c r="W53" i="1"/>
  <c r="V53" i="1"/>
  <c r="X52" i="1"/>
  <c r="W52" i="1"/>
  <c r="V52" i="1"/>
  <c r="W51" i="1"/>
  <c r="V51" i="1"/>
  <c r="X50" i="1"/>
  <c r="W50" i="1"/>
  <c r="V50" i="1"/>
  <c r="X49" i="1"/>
  <c r="W49" i="1"/>
  <c r="V49" i="1"/>
  <c r="X48" i="1"/>
  <c r="W48" i="1"/>
  <c r="V48" i="1"/>
  <c r="X47" i="1"/>
  <c r="V47" i="1"/>
  <c r="V46" i="1"/>
  <c r="X45" i="1"/>
  <c r="D46" i="9" s="1"/>
  <c r="V45" i="1"/>
  <c r="X44" i="1"/>
  <c r="D45" i="9" s="1"/>
  <c r="V44" i="1"/>
  <c r="X43" i="1"/>
  <c r="D44" i="9" s="1"/>
  <c r="V43" i="1"/>
  <c r="X42" i="1"/>
  <c r="D43" i="9" s="1"/>
  <c r="V42" i="1"/>
  <c r="X41" i="1"/>
  <c r="D42" i="9" s="1"/>
  <c r="V41" i="1"/>
  <c r="X40" i="1"/>
  <c r="V40" i="1"/>
  <c r="X39" i="1"/>
  <c r="D40" i="9" s="1"/>
  <c r="V39" i="1"/>
  <c r="X38" i="1"/>
  <c r="D39" i="9" s="1"/>
  <c r="V38" i="1"/>
  <c r="D38" i="9"/>
  <c r="V36" i="1"/>
  <c r="X35" i="1"/>
  <c r="V35" i="1"/>
  <c r="X34" i="1"/>
  <c r="V34" i="1"/>
  <c r="V33" i="1"/>
  <c r="V32" i="1"/>
  <c r="X31" i="1"/>
  <c r="V31" i="1"/>
  <c r="X30" i="1"/>
  <c r="V30" i="1"/>
  <c r="X29" i="1"/>
  <c r="V29" i="1"/>
  <c r="X28" i="1"/>
  <c r="V28" i="1"/>
  <c r="X27" i="1"/>
  <c r="V27" i="1"/>
  <c r="X26" i="1"/>
  <c r="V26" i="1"/>
  <c r="V25" i="1"/>
  <c r="AA24" i="1"/>
  <c r="V24" i="1"/>
  <c r="X23" i="1"/>
  <c r="AA23" i="1" s="1"/>
  <c r="V23" i="1"/>
  <c r="X22" i="1"/>
  <c r="AA22" i="1" s="1"/>
  <c r="AC22" i="1" s="1"/>
  <c r="V22" i="1"/>
  <c r="X21" i="1"/>
  <c r="AS21" i="1" s="1"/>
  <c r="V21" i="1"/>
  <c r="X20" i="1"/>
  <c r="V20" i="1"/>
  <c r="V19" i="1"/>
  <c r="V18" i="1"/>
  <c r="V17" i="1"/>
  <c r="X16" i="1"/>
  <c r="V16" i="1"/>
  <c r="X15" i="1"/>
  <c r="V15" i="1"/>
  <c r="V14" i="1"/>
  <c r="AA13" i="1"/>
  <c r="AC13" i="1" s="1"/>
  <c r="V13" i="1"/>
  <c r="X12" i="1"/>
  <c r="AA12" i="1" s="1"/>
  <c r="AC12" i="1" s="1"/>
  <c r="V12" i="1"/>
  <c r="V11" i="1"/>
  <c r="X10" i="1"/>
  <c r="AA10" i="1" s="1"/>
  <c r="V10" i="1"/>
  <c r="X9" i="1"/>
  <c r="V9" i="1"/>
  <c r="X8" i="1"/>
  <c r="AA8" i="1" s="1"/>
  <c r="E30" i="3" s="1"/>
  <c r="V8" i="1"/>
  <c r="AA7" i="1"/>
  <c r="V7" i="1"/>
  <c r="X6" i="1"/>
  <c r="AA6" i="1" s="1"/>
  <c r="AC6" i="1" s="1"/>
  <c r="V6" i="1"/>
  <c r="V5" i="1"/>
  <c r="V4" i="1"/>
  <c r="X3" i="1"/>
  <c r="V3" i="1"/>
  <c r="X2" i="1"/>
  <c r="AA2" i="1" s="1"/>
  <c r="V2" i="1"/>
  <c r="AC10" i="1" l="1"/>
  <c r="E50" i="3"/>
  <c r="D4" i="9"/>
  <c r="AC23" i="1"/>
  <c r="E56" i="3"/>
  <c r="D10" i="9"/>
  <c r="AC2" i="1"/>
  <c r="E35" i="3"/>
  <c r="D34" i="9"/>
  <c r="AC24" i="1"/>
  <c r="E58" i="3"/>
  <c r="D12" i="9"/>
  <c r="AC7" i="1"/>
  <c r="E18" i="3"/>
  <c r="D41" i="9"/>
  <c r="AF8" i="1"/>
  <c r="J29" i="9" s="1"/>
  <c r="L29" i="9" s="1"/>
  <c r="AC8" i="1"/>
  <c r="J2" i="10"/>
  <c r="AF24" i="1"/>
  <c r="J12" i="9" s="1"/>
  <c r="L12" i="9" s="1"/>
  <c r="E55" i="3"/>
  <c r="E48" i="3"/>
  <c r="AF23" i="1"/>
  <c r="J10" i="9" s="1"/>
  <c r="L10" i="9" s="1"/>
  <c r="E46" i="3"/>
  <c r="E38" i="3"/>
  <c r="AF13" i="1"/>
  <c r="E53" i="3"/>
  <c r="AF6" i="1"/>
  <c r="J3" i="9" s="1"/>
  <c r="E54" i="3"/>
  <c r="E57" i="3"/>
  <c r="AE10" i="1"/>
  <c r="E59" i="3"/>
  <c r="AF12" i="1"/>
  <c r="J11" i="9" s="1"/>
  <c r="L11" i="9" s="1"/>
  <c r="AF22" i="1"/>
  <c r="E26" i="3"/>
  <c r="E49" i="3"/>
  <c r="AE2" i="1"/>
  <c r="G34" i="9" s="1"/>
  <c r="I34" i="9" s="1"/>
  <c r="E34" i="9" s="1"/>
  <c r="AG33" i="1" s="1"/>
  <c r="AH33" i="1" s="1" a="1"/>
  <c r="AH33" i="1" s="1"/>
  <c r="E47" i="3"/>
  <c r="D17" i="9"/>
  <c r="L17" i="9"/>
  <c r="D3" i="9"/>
  <c r="D9" i="9"/>
  <c r="D28" i="9"/>
  <c r="D8" i="9"/>
  <c r="D29" i="9"/>
  <c r="D13" i="9"/>
  <c r="D24" i="9"/>
  <c r="D14" i="9"/>
  <c r="D7" i="9"/>
  <c r="D30" i="9"/>
  <c r="D11" i="9"/>
  <c r="D22" i="9"/>
  <c r="AS22" i="1"/>
  <c r="D23" i="9"/>
  <c r="D25" i="9"/>
  <c r="L38" i="9"/>
  <c r="O5" i="9"/>
  <c r="AS23" i="1"/>
  <c r="AS6" i="1"/>
  <c r="AS8" i="1"/>
  <c r="AS10" i="1"/>
  <c r="AS24" i="1"/>
  <c r="AS13" i="1"/>
  <c r="AS2" i="1"/>
  <c r="AS20" i="1"/>
  <c r="J21" i="9"/>
  <c r="AS7" i="1"/>
  <c r="AS12" i="1"/>
  <c r="J9" i="9" l="1"/>
  <c r="L9" i="9" s="1"/>
  <c r="I11" i="3"/>
  <c r="I14" i="3"/>
  <c r="I12" i="3"/>
  <c r="F25" i="3"/>
  <c r="G11" i="9"/>
  <c r="G4" i="9"/>
  <c r="I4" i="9" s="1"/>
  <c r="E4" i="9" s="1"/>
  <c r="AG3" i="1" s="1"/>
  <c r="AH3" i="1" s="1" a="1"/>
  <c r="AH3" i="1" s="1"/>
  <c r="AE59" i="1"/>
  <c r="AW4" i="1"/>
  <c r="AX4" i="1" s="1" a="1"/>
  <c r="AX4" i="1" s="1"/>
  <c r="AE8" i="1"/>
  <c r="G22" i="9"/>
  <c r="AE7" i="1"/>
  <c r="G41" i="9" s="1"/>
  <c r="I41" i="9" s="1"/>
  <c r="E41" i="9" s="1"/>
  <c r="AG40" i="1" s="1"/>
  <c r="AH40" i="1" s="1" a="1"/>
  <c r="AH40" i="1" s="1"/>
  <c r="J8" i="9"/>
  <c r="L8" i="9" s="1"/>
  <c r="J24" i="9"/>
  <c r="L24" i="9" s="1"/>
  <c r="AE6" i="1"/>
  <c r="G3" i="9" s="1"/>
  <c r="I3" i="9" s="1"/>
  <c r="J7" i="9"/>
  <c r="L7" i="9" s="1"/>
  <c r="AE22" i="1"/>
  <c r="J23" i="9"/>
  <c r="L23" i="9" s="1"/>
  <c r="AE12" i="1"/>
  <c r="J13" i="9"/>
  <c r="L13" i="9" s="1"/>
  <c r="J14" i="9"/>
  <c r="L14" i="9" s="1"/>
  <c r="AE24" i="1"/>
  <c r="J25" i="9"/>
  <c r="AE23" i="1"/>
  <c r="G10" i="9" s="1"/>
  <c r="I10" i="9" s="1"/>
  <c r="E10" i="9" s="1"/>
  <c r="AG9" i="1" s="1"/>
  <c r="AH9" i="1" s="1" a="1"/>
  <c r="AH9" i="1" s="1"/>
  <c r="AE13" i="1"/>
  <c r="G14" i="9" s="1"/>
  <c r="O10" i="9"/>
  <c r="L21" i="9"/>
  <c r="AE20" i="1"/>
  <c r="G39" i="9" s="1"/>
  <c r="I39" i="9" s="1"/>
  <c r="E39" i="9" s="1"/>
  <c r="AG38" i="1" s="1"/>
  <c r="AH38" i="1" s="1" a="1"/>
  <c r="AH38" i="1" s="1"/>
  <c r="L20" i="9"/>
  <c r="AE19" i="1"/>
  <c r="G32" i="9" s="1"/>
  <c r="I32" i="9" s="1"/>
  <c r="E32" i="9" s="1"/>
  <c r="AG31" i="1" s="1"/>
  <c r="AH31" i="1" s="1" a="1"/>
  <c r="AH31" i="1" s="1"/>
  <c r="O19" i="9"/>
  <c r="I17" i="9"/>
  <c r="F37" i="3"/>
  <c r="F48" i="3"/>
  <c r="I13" i="3"/>
  <c r="E60" i="3"/>
  <c r="E62" i="3" s="1"/>
  <c r="I10" i="3"/>
  <c r="G61" i="3"/>
  <c r="D60" i="9"/>
  <c r="F59" i="3"/>
  <c r="L3" i="9"/>
  <c r="O49" i="9"/>
  <c r="O37" i="9"/>
  <c r="O26" i="9"/>
  <c r="O12" i="9"/>
  <c r="O27" i="9"/>
  <c r="O18" i="9"/>
  <c r="G25" i="9" l="1"/>
  <c r="G12" i="9"/>
  <c r="I12" i="9" s="1"/>
  <c r="E12" i="9" s="1"/>
  <c r="AG11" i="1" s="1"/>
  <c r="AH11" i="1" s="1" a="1"/>
  <c r="AH11" i="1" s="1"/>
  <c r="G9" i="9"/>
  <c r="I9" i="9" s="1"/>
  <c r="G29" i="9"/>
  <c r="I29" i="9" s="1"/>
  <c r="E29" i="9" s="1"/>
  <c r="AG28" i="1" s="1"/>
  <c r="AH28" i="1" s="1" a="1"/>
  <c r="AH28" i="1" s="1"/>
  <c r="AW25" i="1"/>
  <c r="AX25" i="1" s="1" a="1"/>
  <c r="AX25" i="1" s="1"/>
  <c r="AW36" i="1"/>
  <c r="AX36" i="1" s="1" a="1"/>
  <c r="AX36" i="1" s="1"/>
  <c r="AW48" i="1"/>
  <c r="AX48" i="1" s="1" a="1"/>
  <c r="AX48" i="1" s="1"/>
  <c r="AW9" i="1"/>
  <c r="AX9" i="1" s="1" a="1"/>
  <c r="AX9" i="1" s="1"/>
  <c r="AW17" i="1"/>
  <c r="AX17" i="1" s="1" a="1"/>
  <c r="AX17" i="1" s="1"/>
  <c r="AW18" i="1"/>
  <c r="AX18" i="1" s="1" a="1"/>
  <c r="AX18" i="1" s="1"/>
  <c r="AW26" i="1"/>
  <c r="AX26" i="1" s="1" a="1"/>
  <c r="AX26" i="1" s="1"/>
  <c r="AW11" i="1"/>
  <c r="AX11" i="1" s="1" a="1"/>
  <c r="AX11" i="1" s="1"/>
  <c r="E3" i="9"/>
  <c r="E17" i="9"/>
  <c r="L25" i="9"/>
  <c r="G20" i="9"/>
  <c r="I20" i="9" s="1"/>
  <c r="G24" i="9"/>
  <c r="I24" i="9" s="1"/>
  <c r="G13" i="9"/>
  <c r="I13" i="9" s="1"/>
  <c r="G21" i="9"/>
  <c r="I21" i="9" s="1"/>
  <c r="E21" i="9" s="1"/>
  <c r="G23" i="9"/>
  <c r="I23" i="9" s="1"/>
  <c r="G8" i="9"/>
  <c r="I8" i="9" s="1"/>
  <c r="G7" i="9"/>
  <c r="I7" i="9" s="1"/>
  <c r="I15" i="3"/>
  <c r="O23" i="9"/>
  <c r="AW22" i="1" s="1"/>
  <c r="AX22" i="1" s="1" a="1"/>
  <c r="AX22" i="1" s="1"/>
  <c r="O13" i="9"/>
  <c r="AW12" i="1" s="1"/>
  <c r="AX12" i="1" s="1" a="1"/>
  <c r="AX12" i="1" s="1"/>
  <c r="I11" i="9"/>
  <c r="O11" i="9"/>
  <c r="AW10" i="1" s="1"/>
  <c r="AX10" i="1" s="1" a="1"/>
  <c r="AX10" i="1" s="1"/>
  <c r="I38" i="9"/>
  <c r="I25" i="9"/>
  <c r="O25" i="9"/>
  <c r="AW24" i="1" s="1"/>
  <c r="AX24" i="1" s="1" a="1"/>
  <c r="AX24" i="1" s="1"/>
  <c r="I22" i="9"/>
  <c r="O22" i="9"/>
  <c r="AW21" i="1" s="1"/>
  <c r="AX21" i="1" s="1" a="1"/>
  <c r="AX21" i="1" s="1"/>
  <c r="O20" i="9"/>
  <c r="AW19" i="1" s="1"/>
  <c r="AX19" i="1" s="1" a="1"/>
  <c r="AX19" i="1" s="1"/>
  <c r="O24" i="9"/>
  <c r="AW23" i="1" s="1"/>
  <c r="AX23" i="1" s="1" a="1"/>
  <c r="AX23" i="1" s="1"/>
  <c r="AG16" i="1" l="1"/>
  <c r="AH16" i="1" s="1" a="1"/>
  <c r="AH16" i="1" s="1"/>
  <c r="AG2" i="1"/>
  <c r="AH2" i="1" s="1" a="1"/>
  <c r="AH2" i="1" s="1"/>
  <c r="E11" i="9"/>
  <c r="E24" i="9"/>
  <c r="E20" i="9"/>
  <c r="E8" i="9"/>
  <c r="E38" i="9"/>
  <c r="E23" i="9"/>
  <c r="E13" i="9"/>
  <c r="E22" i="9"/>
  <c r="E25" i="9"/>
  <c r="E7" i="9"/>
  <c r="E9" i="9"/>
  <c r="O21" i="9"/>
  <c r="O8" i="9"/>
  <c r="O3" i="9"/>
  <c r="O38" i="9"/>
  <c r="O9" i="9"/>
  <c r="I14" i="9"/>
  <c r="O14" i="9"/>
  <c r="AW13" i="1" s="1"/>
  <c r="AX13" i="1" s="1" a="1"/>
  <c r="AX13" i="1" s="1"/>
  <c r="O7" i="9"/>
  <c r="AG6" i="1" l="1"/>
  <c r="AH6" i="1" s="1" a="1"/>
  <c r="AH6" i="1" s="1"/>
  <c r="AG22" i="1"/>
  <c r="AH22" i="1" s="1" a="1"/>
  <c r="AH22" i="1" s="1"/>
  <c r="AG10" i="1"/>
  <c r="AH10" i="1" s="1" a="1"/>
  <c r="AH10" i="1" s="1"/>
  <c r="AG37" i="1"/>
  <c r="AH37" i="1" s="1" a="1"/>
  <c r="AH37" i="1" s="1"/>
  <c r="AG24" i="1"/>
  <c r="AH24" i="1" s="1" a="1"/>
  <c r="AH24" i="1" s="1"/>
  <c r="AG7" i="1"/>
  <c r="AH7" i="1" s="1" a="1"/>
  <c r="AH7" i="1" s="1"/>
  <c r="AG20" i="1"/>
  <c r="AH20" i="1" s="1" a="1"/>
  <c r="AH20" i="1" s="1"/>
  <c r="AG12" i="1"/>
  <c r="AH12" i="1" s="1" a="1"/>
  <c r="AH12" i="1" s="1"/>
  <c r="AG23" i="1"/>
  <c r="AH23" i="1" s="1" a="1"/>
  <c r="AH23" i="1" s="1"/>
  <c r="AG8" i="1"/>
  <c r="AH8" i="1" s="1" a="1"/>
  <c r="AH8" i="1" s="1"/>
  <c r="AG21" i="1"/>
  <c r="AH21" i="1" s="1" a="1"/>
  <c r="AH21" i="1" s="1"/>
  <c r="AG19" i="1"/>
  <c r="AH19" i="1" s="1" a="1"/>
  <c r="AH19" i="1" s="1"/>
  <c r="AW8" i="1"/>
  <c r="AX8" i="1" s="1" a="1"/>
  <c r="AX8" i="1" s="1"/>
  <c r="AW6" i="1"/>
  <c r="AX6" i="1" s="1" a="1"/>
  <c r="AX6" i="1" s="1"/>
  <c r="AW37" i="1"/>
  <c r="AX37" i="1" s="1" a="1"/>
  <c r="AX37" i="1" s="1"/>
  <c r="AW2" i="1"/>
  <c r="AX2" i="1" s="1" a="1"/>
  <c r="AX2" i="1" s="1"/>
  <c r="AW7" i="1"/>
  <c r="AX7" i="1" s="1" a="1"/>
  <c r="AX7" i="1" s="1"/>
  <c r="AW20" i="1"/>
  <c r="AX20" i="1" s="1" a="1"/>
  <c r="AX20" i="1" s="1"/>
  <c r="E14" i="9"/>
  <c r="AG13" i="1" l="1"/>
  <c r="AH13" i="1" s="1" a="1"/>
  <c r="AH13" i="1" s="1"/>
  <c r="O4" i="9" l="1"/>
  <c r="AW3" i="1" l="1"/>
  <c r="AX3" i="1" s="1" a="1"/>
  <c r="AX3" i="1" s="1"/>
  <c r="O15" i="9"/>
  <c r="AW14" i="1" s="1"/>
  <c r="AX14" i="1" s="1" a="1"/>
  <c r="AX14" i="1" s="1"/>
  <c r="I15" i="9"/>
  <c r="L15" i="9" l="1"/>
  <c r="E15" i="9" s="1"/>
  <c r="AG14" i="1" l="1"/>
  <c r="AH14" i="1" s="1" a="1"/>
  <c r="AH14" i="1" s="1"/>
  <c r="O47" i="9"/>
  <c r="I47" i="9"/>
  <c r="O60" i="9" l="1"/>
  <c r="AW46" i="1"/>
  <c r="AX46" i="1" s="1" a="1"/>
  <c r="AX46" i="1" s="1"/>
  <c r="I60" i="9"/>
  <c r="G60" i="9"/>
  <c r="L47" i="9" l="1"/>
  <c r="J60" i="9"/>
  <c r="E47" i="9" l="1"/>
  <c r="L60" i="9"/>
  <c r="AG46" i="1" l="1"/>
  <c r="AH46" i="1" s="1" a="1"/>
  <c r="AH46" i="1" s="1"/>
  <c r="E60" i="9"/>
  <c r="X3" i="9" l="1"/>
  <c r="F3" i="9" s="1"/>
  <c r="X28" i="9"/>
  <c r="F28" i="9" s="1"/>
  <c r="X35" i="9"/>
  <c r="F35" i="9" s="1"/>
  <c r="X57" i="9"/>
  <c r="F57" i="9" s="1"/>
  <c r="X48" i="9"/>
  <c r="F48" i="9" s="1"/>
  <c r="X38" i="9"/>
  <c r="F38" i="9" s="1"/>
  <c r="X11" i="9"/>
  <c r="F11" i="9" s="1"/>
  <c r="X15" i="9"/>
  <c r="F15" i="9" s="1"/>
  <c r="X34" i="9"/>
  <c r="F34" i="9" s="1"/>
  <c r="X55" i="9"/>
  <c r="F55" i="9" s="1"/>
  <c r="X20" i="9"/>
  <c r="F20" i="9" s="1"/>
  <c r="X5" i="9"/>
  <c r="F5" i="9" s="1"/>
  <c r="X26" i="9"/>
  <c r="F26" i="9" s="1"/>
  <c r="X24" i="9"/>
  <c r="F24" i="9" s="1"/>
  <c r="X54" i="9"/>
  <c r="F54" i="9" s="1"/>
  <c r="X18" i="9"/>
  <c r="F18" i="9" s="1"/>
  <c r="X42" i="9"/>
  <c r="F42" i="9" s="1"/>
  <c r="X8" i="9"/>
  <c r="F8" i="9" s="1"/>
  <c r="X17" i="9"/>
  <c r="F17" i="9" s="1"/>
  <c r="X43" i="9"/>
  <c r="F43" i="9" s="1"/>
  <c r="X31" i="9"/>
  <c r="F31" i="9" s="1"/>
  <c r="X46" i="9"/>
  <c r="F46" i="9" s="1"/>
  <c r="X32" i="9"/>
  <c r="F32" i="9" s="1"/>
  <c r="X29" i="9"/>
  <c r="F29" i="9" s="1"/>
  <c r="X47" i="9"/>
  <c r="F47" i="9" s="1"/>
  <c r="X41" i="9"/>
  <c r="F41" i="9" s="1"/>
  <c r="X23" i="9"/>
  <c r="F23" i="9" s="1"/>
  <c r="X50" i="9"/>
  <c r="F50" i="9" s="1"/>
  <c r="X49" i="9"/>
  <c r="F49" i="9" s="1"/>
  <c r="X21" i="9"/>
  <c r="F21" i="9" s="1"/>
  <c r="X51" i="9"/>
  <c r="F51" i="9" s="1"/>
  <c r="X36" i="9"/>
  <c r="F36" i="9" s="1"/>
  <c r="X12" i="9"/>
  <c r="F12" i="9" s="1"/>
  <c r="X10" i="9"/>
  <c r="F10" i="9" s="1"/>
  <c r="X14" i="9"/>
  <c r="F14" i="9" s="1"/>
  <c r="X53" i="9"/>
  <c r="F53" i="9" s="1"/>
  <c r="X45" i="9"/>
  <c r="F45" i="9" s="1"/>
  <c r="X6" i="9"/>
  <c r="F6" i="9" s="1"/>
  <c r="X39" i="9"/>
  <c r="F39" i="9" s="1"/>
  <c r="X30" i="9"/>
  <c r="F30" i="9" s="1"/>
  <c r="X16" i="9"/>
  <c r="F16" i="9" s="1"/>
  <c r="X33" i="9"/>
  <c r="F33" i="9" s="1"/>
  <c r="X37" i="9"/>
  <c r="F37" i="9" s="1"/>
  <c r="X44" i="9"/>
  <c r="F44" i="9" s="1"/>
  <c r="X52" i="9"/>
  <c r="F52" i="9" s="1"/>
  <c r="X22" i="9"/>
  <c r="F22" i="9" s="1"/>
  <c r="X19" i="9"/>
  <c r="F19" i="9" s="1"/>
  <c r="X7" i="9"/>
  <c r="F7" i="9" s="1"/>
  <c r="X4" i="9"/>
  <c r="F4" i="9" s="1"/>
  <c r="W60" i="9"/>
  <c r="X60" i="9" s="1"/>
  <c r="F60" i="9" s="1"/>
  <c r="X56" i="9"/>
  <c r="F56" i="9" s="1"/>
  <c r="X13" i="9"/>
  <c r="F13" i="9" s="1"/>
  <c r="X25" i="9"/>
  <c r="F25" i="9" s="1"/>
  <c r="X58" i="9"/>
  <c r="F58" i="9" s="1"/>
  <c r="X59" i="9"/>
  <c r="F59" i="9" s="1"/>
  <c r="X27" i="9"/>
  <c r="F27" i="9" s="1"/>
  <c r="X40" i="9"/>
  <c r="F40" i="9" s="1"/>
  <c r="X9" i="9"/>
  <c r="F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tc={5944A110-AAF0-D946-B4F8-5F9B98733B04}</author>
    <author>tc={0B53248C-181F-D74B-AD2A-3B393D8E5273}</author>
    <author>tc={C9600D68-1277-BF44-AF05-C1323A463F76}</author>
    <author>tc={CD5F3F5E-87A3-D942-A91C-BE3760BFA03B}</author>
  </authors>
  <commentList>
    <comment ref="P3" authorId="0" shapeId="0" xr:uid="{5944A110-AAF0-D946-B4F8-5F9B98733B0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Solicito 4 cambios, mueble  del sofá, quiere el calentador. De agua, concentra. Centro de lavado, salida 220 a la secadora, cambiar abanico y subsanar rajaduras, pidio las mesitas de noche
</t>
      </text>
    </comment>
    <comment ref="AW7" authorId="1" shapeId="0" xr:uid="{0B53248C-181F-D74B-AD2A-3B393D8E52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Cliente responde a la notificación que lo pagaría la semana del 15 de junio</t>
      </text>
    </comment>
    <comment ref="C11" authorId="2" shapeId="0" xr:uid="{C9600D68-1277-BF44-AF05-C1323A463F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Paquete de muebles $12,000.00</t>
      </text>
    </comment>
    <comment ref="C18" authorId="3" shapeId="0" xr:uid="{CD5F3F5E-87A3-D942-A91C-BE3760BFA0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PAQUETE MUEBLES CANCELADO 5675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tc={12420D5D-43BB-3041-80F5-E4705D1DC201}</author>
  </authors>
  <commentList>
    <comment ref="N25" authorId="0" shapeId="0" xr:uid="{12420D5D-43BB-3041-80F5-E4705D1DC2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REGALIA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<sst xmlns="http://schemas.openxmlformats.org/spreadsheetml/2006/main" count="3437" uniqueCount="518">
  <si>
    <t>CLIENTE</t>
  </si>
  <si>
    <t>KEVIN FORSYTH</t>
  </si>
  <si>
    <t>HD802468</t>
  </si>
  <si>
    <t>L-501</t>
  </si>
  <si>
    <t>L-502</t>
  </si>
  <si>
    <t xml:space="preserve">AARON Y MARSHA EDWARDS </t>
  </si>
  <si>
    <t>8-1137-1326</t>
  </si>
  <si>
    <t>L-503</t>
  </si>
  <si>
    <t>L-504</t>
  </si>
  <si>
    <t>ALCIBIADES SOLIS</t>
  </si>
  <si>
    <t>6-700-2182</t>
  </si>
  <si>
    <t>L-505</t>
  </si>
  <si>
    <t>ERIC WHITAKER</t>
  </si>
  <si>
    <t>L-506</t>
  </si>
  <si>
    <t>BRUNO LA GROTTA</t>
  </si>
  <si>
    <t>8-238-1798</t>
  </si>
  <si>
    <t>L-507</t>
  </si>
  <si>
    <t xml:space="preserve">PAUL Y RENATE MIANO </t>
  </si>
  <si>
    <t>L-508</t>
  </si>
  <si>
    <t>DAYANARA RÍOS</t>
  </si>
  <si>
    <t>8-729-1993</t>
  </si>
  <si>
    <t>L-509</t>
  </si>
  <si>
    <t>NICHOLAS CHILLEMI</t>
  </si>
  <si>
    <t>L-510</t>
  </si>
  <si>
    <t>L-511</t>
  </si>
  <si>
    <t>ROBERT RODRIGUEZ</t>
  </si>
  <si>
    <t>L-401</t>
  </si>
  <si>
    <t>L-402</t>
  </si>
  <si>
    <t>L-403</t>
  </si>
  <si>
    <t>L-404</t>
  </si>
  <si>
    <t>8-303-199</t>
  </si>
  <si>
    <t>L-405</t>
  </si>
  <si>
    <t>L-406</t>
  </si>
  <si>
    <t>VERA ANN MATTHEWS / RUDOLF MATTHEWS</t>
  </si>
  <si>
    <t>572606505 / A6716876</t>
  </si>
  <si>
    <t>L-407</t>
  </si>
  <si>
    <t>CONSTRUA INTERNATIONAL</t>
  </si>
  <si>
    <t>L-408</t>
  </si>
  <si>
    <t>L-409</t>
  </si>
  <si>
    <t>MICHAEL BELANGER</t>
  </si>
  <si>
    <t>8-812-1508</t>
  </si>
  <si>
    <t>L-410</t>
  </si>
  <si>
    <t>KOYNE LOISELLE</t>
  </si>
  <si>
    <t>HD813149</t>
  </si>
  <si>
    <t>L-411</t>
  </si>
  <si>
    <t>SCOTT WAYNE / THI LE NETTIE</t>
  </si>
  <si>
    <t>E-8-204924 / E-8-204917</t>
  </si>
  <si>
    <t xml:space="preserve"> L-301</t>
  </si>
  <si>
    <t>CARLOS ARAGON</t>
  </si>
  <si>
    <t>L-302</t>
  </si>
  <si>
    <t>L-303</t>
  </si>
  <si>
    <t>L-304</t>
  </si>
  <si>
    <t>L-305</t>
  </si>
  <si>
    <t>L-306</t>
  </si>
  <si>
    <t>L-307</t>
  </si>
  <si>
    <t>L-308</t>
  </si>
  <si>
    <t>L-309</t>
  </si>
  <si>
    <t>SHAROMAY OSMA</t>
  </si>
  <si>
    <t>8-460-62</t>
  </si>
  <si>
    <t>L-310</t>
  </si>
  <si>
    <t>L-311</t>
  </si>
  <si>
    <t>L-312</t>
  </si>
  <si>
    <t>679659135 / 651130541</t>
  </si>
  <si>
    <t>L-201</t>
  </si>
  <si>
    <t>RUTH WINSLOW</t>
  </si>
  <si>
    <t>E-8-129577</t>
  </si>
  <si>
    <t>L-202</t>
  </si>
  <si>
    <t>L-203</t>
  </si>
  <si>
    <t>L-204</t>
  </si>
  <si>
    <t>L-205</t>
  </si>
  <si>
    <t>L-206</t>
  </si>
  <si>
    <t>L-207</t>
  </si>
  <si>
    <t>L-208</t>
  </si>
  <si>
    <t>L-209</t>
  </si>
  <si>
    <t>L-210</t>
  </si>
  <si>
    <t>MICHAEL RIVAS</t>
  </si>
  <si>
    <t>2-731-1908</t>
  </si>
  <si>
    <t>L-211</t>
  </si>
  <si>
    <t>L-212</t>
  </si>
  <si>
    <t>L-101</t>
  </si>
  <si>
    <t>L-102</t>
  </si>
  <si>
    <t>L-103</t>
  </si>
  <si>
    <t>PEDRO GALVEZ</t>
  </si>
  <si>
    <t>E-8-182664</t>
  </si>
  <si>
    <t>L-104</t>
  </si>
  <si>
    <t>L-105</t>
  </si>
  <si>
    <t>L-106</t>
  </si>
  <si>
    <t>L-108</t>
  </si>
  <si>
    <t>L-109</t>
  </si>
  <si>
    <t>L-110</t>
  </si>
  <si>
    <t>L-111</t>
  </si>
  <si>
    <t>TOTAL</t>
  </si>
  <si>
    <t>FECHA DE RESERVA</t>
  </si>
  <si>
    <t>FECHA NACIMIENTO</t>
  </si>
  <si>
    <t>NÚMERO DE IDENTIDAD</t>
  </si>
  <si>
    <t>PROFESION</t>
  </si>
  <si>
    <t>FORMA DE PAGO</t>
  </si>
  <si>
    <t>PERFIL DE INGRESOS</t>
  </si>
  <si>
    <t>MODELO</t>
  </si>
  <si>
    <t>AREA CERRADA</t>
  </si>
  <si>
    <t>AREA BALCON</t>
  </si>
  <si>
    <t>AREA TOTAL CUANTIFICABLE</t>
  </si>
  <si>
    <t>VALOR DE BALCON</t>
  </si>
  <si>
    <t>VALOR DE VENTA DE AREA CERRADA</t>
  </si>
  <si>
    <t>CARGO ADICIONAL</t>
  </si>
  <si>
    <t>AJUSTE</t>
  </si>
  <si>
    <t>VALOR TOTAL</t>
  </si>
  <si>
    <t>PRECIO X M2</t>
  </si>
  <si>
    <t>A</t>
  </si>
  <si>
    <t>B</t>
  </si>
  <si>
    <t>C1</t>
  </si>
  <si>
    <t>D</t>
  </si>
  <si>
    <t>C</t>
  </si>
  <si>
    <t>RESERVADAS, VENDIDAS</t>
  </si>
  <si>
    <t>PRECIO DE CONTRATO DE COMPRA Y VENTA</t>
  </si>
  <si>
    <t>FECHA DE CONTRATO</t>
  </si>
  <si>
    <t>Reservada - Con Contrato</t>
  </si>
  <si>
    <t>Por vender</t>
  </si>
  <si>
    <t>FECHA DE EMISION DE CPP</t>
  </si>
  <si>
    <t>FECHA DE VENCIMIENTO CPP</t>
  </si>
  <si>
    <t>BANCO</t>
  </si>
  <si>
    <t>UNIBANK</t>
  </si>
  <si>
    <t>TOWERBANK</t>
  </si>
  <si>
    <t>OFICIAL DE TRÁMITE</t>
  </si>
  <si>
    <t>NIVEL</t>
  </si>
  <si>
    <t>MULTIBANK</t>
  </si>
  <si>
    <t>LOTE</t>
  </si>
  <si>
    <t>Nº ID</t>
  </si>
  <si>
    <t>NACIONALIDAD</t>
  </si>
  <si>
    <t>FECHA DESISTIDO</t>
  </si>
  <si>
    <t>VENDEDOR</t>
  </si>
  <si>
    <t>MOTIVO</t>
  </si>
  <si>
    <t>DEVOLUCIÓN</t>
  </si>
  <si>
    <t>L 501</t>
  </si>
  <si>
    <t>L 502</t>
  </si>
  <si>
    <t>L 503</t>
  </si>
  <si>
    <t>L 504</t>
  </si>
  <si>
    <t>BERNARDO CERVANTES / ISIDORO GOMEZ</t>
  </si>
  <si>
    <t>530858720 / 597733829</t>
  </si>
  <si>
    <t>ESTADOUNIDENSE</t>
  </si>
  <si>
    <t>JOAQUIN</t>
  </si>
  <si>
    <t>L 505</t>
  </si>
  <si>
    <t>L 506</t>
  </si>
  <si>
    <t>L 507</t>
  </si>
  <si>
    <t>L 508</t>
  </si>
  <si>
    <t>L 509</t>
  </si>
  <si>
    <t>L 510</t>
  </si>
  <si>
    <t>L 511</t>
  </si>
  <si>
    <t>L 401</t>
  </si>
  <si>
    <t>L 402</t>
  </si>
  <si>
    <t>MAGDALENA NORA URRA</t>
  </si>
  <si>
    <t>SI</t>
  </si>
  <si>
    <t>L 403</t>
  </si>
  <si>
    <t>L 404</t>
  </si>
  <si>
    <t>L 405</t>
  </si>
  <si>
    <t>L 406</t>
  </si>
  <si>
    <t>L 407</t>
  </si>
  <si>
    <t>L 408</t>
  </si>
  <si>
    <t>L 409</t>
  </si>
  <si>
    <t>L 410</t>
  </si>
  <si>
    <t>L 411</t>
  </si>
  <si>
    <t>L 301</t>
  </si>
  <si>
    <t>L 302</t>
  </si>
  <si>
    <t>L 303</t>
  </si>
  <si>
    <t>L 304</t>
  </si>
  <si>
    <t>L 305</t>
  </si>
  <si>
    <t>L 306</t>
  </si>
  <si>
    <t>L 307</t>
  </si>
  <si>
    <t>LOURDES SOFÍA ANDRADE Y OSCAR SUAZO</t>
  </si>
  <si>
    <t>8-728-2099 / 8-462-114</t>
  </si>
  <si>
    <t>PANAMEÑA</t>
  </si>
  <si>
    <t>L 308</t>
  </si>
  <si>
    <t>L 309</t>
  </si>
  <si>
    <t>DIEGO MURILLO Y MARÍA DÁVILA</t>
  </si>
  <si>
    <t>0923719264/0941154205</t>
  </si>
  <si>
    <t>ECUATORIANOS</t>
  </si>
  <si>
    <t>La distancia vs el uso / Fallecimiento familiar</t>
  </si>
  <si>
    <t>L 310</t>
  </si>
  <si>
    <t>L 311</t>
  </si>
  <si>
    <t>L 312</t>
  </si>
  <si>
    <t>L 201</t>
  </si>
  <si>
    <t>L 202</t>
  </si>
  <si>
    <t>L 203</t>
  </si>
  <si>
    <t>L 204</t>
  </si>
  <si>
    <t>L 205</t>
  </si>
  <si>
    <t>L 206</t>
  </si>
  <si>
    <t>L 207</t>
  </si>
  <si>
    <t>L 208</t>
  </si>
  <si>
    <t>L 209</t>
  </si>
  <si>
    <t>L 210</t>
  </si>
  <si>
    <t>L 211</t>
  </si>
  <si>
    <t>L 212</t>
  </si>
  <si>
    <t>L101</t>
  </si>
  <si>
    <t>L102</t>
  </si>
  <si>
    <t>L103</t>
  </si>
  <si>
    <t>L104</t>
  </si>
  <si>
    <t>L105</t>
  </si>
  <si>
    <t>L106</t>
  </si>
  <si>
    <t>L108</t>
  </si>
  <si>
    <t>L109</t>
  </si>
  <si>
    <t>L110</t>
  </si>
  <si>
    <t>L111</t>
  </si>
  <si>
    <t>L112</t>
  </si>
  <si>
    <t>List de precios The Palms Ocean Front</t>
  </si>
  <si>
    <t>Ud.</t>
  </si>
  <si>
    <t>Nivel</t>
  </si>
  <si>
    <t>Modelo</t>
  </si>
  <si>
    <t>Apartamento</t>
  </si>
  <si>
    <t>Precio</t>
  </si>
  <si>
    <t>Total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</si>
  <si>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</si>
  <si>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</si>
  <si>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</si>
  <si>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</si>
  <si>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</si>
  <si>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</si>
  <si>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</si>
  <si>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</si>
  <si>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</si>
  <si>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</si>
  <si>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</si>
  <si>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PAQUETE DE MUEBLES</t>
  </si>
  <si>
    <t>INCLUIDO EN PRECIO DE VENTA</t>
  </si>
  <si>
    <t>VALOR DEL PAQUETE</t>
  </si>
  <si>
    <t>ESTATUS DE PAGO</t>
  </si>
  <si>
    <t>NUMERO FINCA</t>
  </si>
  <si>
    <t>GASTOS LEGALES</t>
  </si>
  <si>
    <t>ESTATUS</t>
  </si>
  <si>
    <t>SALDO PENDIENTE</t>
  </si>
  <si>
    <t>MINUTA LIBERACIÓN</t>
  </si>
  <si>
    <t>MINUTA DE VENTA</t>
  </si>
  <si>
    <t>MINUTA DE PRESTAMO</t>
  </si>
  <si>
    <t>ACTIVACIÓN DE TRAMITE</t>
  </si>
  <si>
    <t>CONFECCION DE PROTOCOLO</t>
  </si>
  <si>
    <t>NOTARIA</t>
  </si>
  <si>
    <t>RECEPCIÓN DE NOTARIA</t>
  </si>
  <si>
    <t>FIRMA CLIENTE</t>
  </si>
  <si>
    <t>ENVIO A INTERINO</t>
  </si>
  <si>
    <t>RECEPCIÓN INTERINO</t>
  </si>
  <si>
    <t>PAGO IMPUESTO</t>
  </si>
  <si>
    <t>BANCO CLIENTE</t>
  </si>
  <si>
    <t>CIERRE DE NOTARIA</t>
  </si>
  <si>
    <t>INGRESO REGISTRO</t>
  </si>
  <si>
    <t>INSCRIPCIÓN REGISTRO</t>
  </si>
  <si>
    <t>DESEMBOLSO</t>
  </si>
  <si>
    <t>SOLICITUD DE MINUTA LIBERACIÓN</t>
  </si>
  <si>
    <t>COMENTARIOS ESTATUS LEGAL</t>
  </si>
  <si>
    <t>PENDIENTE</t>
  </si>
  <si>
    <t>ABONO</t>
  </si>
  <si>
    <t>CANADIENSE</t>
  </si>
  <si>
    <t>CONTADO</t>
  </si>
  <si>
    <t>INDEPENDIENTE</t>
  </si>
  <si>
    <t>GISA</t>
  </si>
  <si>
    <t>N/A</t>
  </si>
  <si>
    <t>IDAAN</t>
  </si>
  <si>
    <t>INMUEBLE</t>
  </si>
  <si>
    <t xml:space="preserve">PH </t>
  </si>
  <si>
    <t>FINANCIAMIENTO</t>
  </si>
  <si>
    <t>ASALARIADO</t>
  </si>
  <si>
    <t>MONICA OSES</t>
  </si>
  <si>
    <t>CONTACTO OFICIAL</t>
  </si>
  <si>
    <t>monica.oses@unibank.com.pa / 6997-8248</t>
  </si>
  <si>
    <t>BANCO ALIADO</t>
  </si>
  <si>
    <t>EDGAR UREÑA</t>
  </si>
  <si>
    <t>COSTARRICENSE</t>
  </si>
  <si>
    <t>GUATEMALTECO</t>
  </si>
  <si>
    <t>RESERVAS, VENDIDAS</t>
  </si>
  <si>
    <t>ANA LUCIA SOTO</t>
  </si>
  <si>
    <t>COMENTARIOS</t>
  </si>
  <si>
    <t>Ana.Soto@multibank.com.pa / 6607-9679</t>
  </si>
  <si>
    <t>kchong@towerbank.com / 269-6900</t>
  </si>
  <si>
    <t>SCOTIABANK</t>
  </si>
  <si>
    <t>CAJA DE AHORROS</t>
  </si>
  <si>
    <t>FIRMA PROMOTOR</t>
  </si>
  <si>
    <t>KERIMA CHONG</t>
  </si>
  <si>
    <t xml:space="preserve"> jose.pinto@banistmo.com /62352036</t>
  </si>
  <si>
    <t>JOSE PINTO</t>
  </si>
  <si>
    <t>RICARDO HERRERA</t>
  </si>
  <si>
    <t>CON CPP</t>
  </si>
  <si>
    <t xml:space="preserve"> CON CPP </t>
  </si>
  <si>
    <t>6-711-23</t>
  </si>
  <si>
    <t>8-735-347</t>
  </si>
  <si>
    <t>EXTRAS</t>
  </si>
  <si>
    <t>NO</t>
  </si>
  <si>
    <t>MONTO DEVOLUCIÓN</t>
  </si>
  <si>
    <t>TRANSFERENCIA</t>
  </si>
  <si>
    <t>FECHA</t>
  </si>
  <si>
    <t>CARTA DESESTIMIENTO</t>
  </si>
  <si>
    <t>SOLICITUD DE DESEMBOLSO</t>
  </si>
  <si>
    <t>FECHA RECIBIDO MINUTA LIBERACION</t>
  </si>
  <si>
    <t>FECHA EMISION MINUTA VENTA</t>
  </si>
  <si>
    <t>KATHERINE MARTNEZ</t>
  </si>
  <si>
    <t>katherine.martinez@bancoaliado.com /  6948-4733</t>
  </si>
  <si>
    <t>GABRIEL DIAZ / NURIA CASTILLO</t>
  </si>
  <si>
    <t xml:space="preserve"> ROBERTO CORTEZ</t>
  </si>
  <si>
    <t xml:space="preserve"> 8-743-1688</t>
  </si>
  <si>
    <t>FONDO PROPIOS PIGNORADOS</t>
  </si>
  <si>
    <t>SOLICITUD DE AVALUO</t>
  </si>
  <si>
    <t>ENCARGADO DE AVALUO</t>
  </si>
  <si>
    <t>FECHA DE INSPECCIÓN DE AVALUO</t>
  </si>
  <si>
    <t>EDUCADOR / DOCTORA</t>
  </si>
  <si>
    <t>MEDICO</t>
  </si>
  <si>
    <t>TERAPEUTA</t>
  </si>
  <si>
    <t>ARQUITECTO</t>
  </si>
  <si>
    <t>BIENES RAICES / CONTABLE</t>
  </si>
  <si>
    <t>CONTADOR PUBLICO AUTORIZADO</t>
  </si>
  <si>
    <t>BIENES RAICES</t>
  </si>
  <si>
    <t>CIRUJANO MAXILOFACIAL</t>
  </si>
  <si>
    <t>CONSULTORES</t>
  </si>
  <si>
    <t>TRABAJADORA SOCIAL</t>
  </si>
  <si>
    <t>INGENIERO</t>
  </si>
  <si>
    <t>COMUNICADOR CORPORATIVO</t>
  </si>
  <si>
    <t>INDEPENDIENTE / JUBILADO</t>
  </si>
  <si>
    <t>PROFESIONAL DE LA SALUD</t>
  </si>
  <si>
    <t>ADMINISTRADOR DE EMPRESAS</t>
  </si>
  <si>
    <t>CHARLOTTE HIGGINBOTHAM</t>
  </si>
  <si>
    <t>E-8-197590</t>
  </si>
  <si>
    <t>ILONKA GALLARDO</t>
  </si>
  <si>
    <t>8-227-98</t>
  </si>
  <si>
    <t>CLASIFCACIÓN</t>
  </si>
  <si>
    <t>EXTRANJERO NO RESIDENTE</t>
  </si>
  <si>
    <t>NACIONAL</t>
  </si>
  <si>
    <t>EXTRANJERO RESIDENTE</t>
  </si>
  <si>
    <t>MONTO5</t>
  </si>
  <si>
    <t>ESTATUS6</t>
  </si>
  <si>
    <t>Etiquetas de fila</t>
  </si>
  <si>
    <t>Total general</t>
  </si>
  <si>
    <t>TRASPASADO</t>
  </si>
  <si>
    <t>COBRADO MULTIBANK</t>
  </si>
  <si>
    <t>ESTATUS2</t>
  </si>
  <si>
    <t>CON CLIENTE</t>
  </si>
  <si>
    <t>NORA MORENO</t>
  </si>
  <si>
    <t>8-799-2141</t>
  </si>
  <si>
    <t>alejandro.sanchez@multibank.com.pa</t>
  </si>
  <si>
    <t>INSCRITA Y DESEMBOLSADA</t>
  </si>
  <si>
    <t>SIMON LEWIS CHAPELLE</t>
  </si>
  <si>
    <t>(en blanco)</t>
  </si>
  <si>
    <t>PRACTICO DEL CANAL</t>
  </si>
  <si>
    <t>COOPERATIVA DEL CANAL</t>
  </si>
  <si>
    <t>ALVARO MORENO</t>
  </si>
  <si>
    <t>BROKER</t>
  </si>
  <si>
    <t>FRANCISCO</t>
  </si>
  <si>
    <t>KOYNE</t>
  </si>
  <si>
    <t>TECNICO ELECTRODOMESTICOS / ENFERMERA</t>
  </si>
  <si>
    <t>NO HAN VENDIDO OTRA PROPIEDAD PARA PAGAR ESTA</t>
  </si>
  <si>
    <t>ELECCIONES BIDEN</t>
  </si>
  <si>
    <t>8-239-2489</t>
  </si>
  <si>
    <t>MELINDA MOORE</t>
  </si>
  <si>
    <t>A03717675</t>
  </si>
  <si>
    <t>BARTENDER</t>
  </si>
  <si>
    <t>CURADORA</t>
  </si>
  <si>
    <t>DIAS TRANSCURRIDOS INTERINO</t>
  </si>
  <si>
    <t>DIAS TRANSCURRIDOS MINUTA LIBERACIÓN</t>
  </si>
  <si>
    <t>JOSE LUIS MACIAS</t>
  </si>
  <si>
    <t>GEORGE WALES Y MAUZIE-LISA WALES</t>
  </si>
  <si>
    <t>AUSTRALIANA</t>
  </si>
  <si>
    <t>AGENTE DE VIAJES</t>
  </si>
  <si>
    <t>2-157-170</t>
  </si>
  <si>
    <t>AVANCE</t>
  </si>
  <si>
    <t>CORPORACIÓN DE INGENIEROS</t>
  </si>
  <si>
    <t>ALESSANDRO GANCI CERRUD</t>
  </si>
  <si>
    <t>PE-92339</t>
  </si>
  <si>
    <t>ALEJANDRO SANCHEZ</t>
  </si>
  <si>
    <t>L-107</t>
  </si>
  <si>
    <t>LIBRE</t>
  </si>
  <si>
    <t>DESEMBOLSADO</t>
  </si>
  <si>
    <t>DESEMBOLSADO Y TRASPASADO</t>
  </si>
  <si>
    <t>GERMAN SANCHEZ</t>
  </si>
  <si>
    <t>9-726-1097</t>
  </si>
  <si>
    <t>INGENIERO NAVAL</t>
  </si>
  <si>
    <t>LAISIE CEDEÑO</t>
  </si>
  <si>
    <t>8-744-1935</t>
  </si>
  <si>
    <t>ILEANA QUINTERO</t>
  </si>
  <si>
    <t>PANAMA PACIFICA REALTY</t>
  </si>
  <si>
    <t>DOO PANAMA</t>
  </si>
  <si>
    <t>PANAMA EQUITY</t>
  </si>
  <si>
    <t>MARISOL CUESTA</t>
  </si>
  <si>
    <t>BELANGER REALTY PANAMA</t>
  </si>
  <si>
    <t>SCOTT NETTIE Y AILEEN VEGA</t>
  </si>
  <si>
    <t>GESPROBAN</t>
  </si>
  <si>
    <t>GENIFER MUÑOZ</t>
  </si>
  <si>
    <t>FECHA DE ENTREGA</t>
  </si>
  <si>
    <t>668898941 / 668898940</t>
  </si>
  <si>
    <t>HL824486 / HL824480</t>
  </si>
  <si>
    <t>JOHN ESTRELLA / MARIA ESTRELLA</t>
  </si>
  <si>
    <t>000</t>
  </si>
  <si>
    <t>ACUERDO FINANCIAMIENTO INTERNO</t>
  </si>
  <si>
    <t xml:space="preserve">JEANETTE MUNROE </t>
  </si>
  <si>
    <t>RA2827279 / RA2832821</t>
  </si>
  <si>
    <t>VALOR VENTA</t>
  </si>
  <si>
    <t>Fecha</t>
  </si>
  <si>
    <t>Lote</t>
  </si>
  <si>
    <t>Cliente</t>
  </si>
  <si>
    <t>Abonos</t>
  </si>
  <si>
    <t>Concepto</t>
  </si>
  <si>
    <t>FONDO ADM</t>
  </si>
  <si>
    <t>MEDIDOR</t>
  </si>
  <si>
    <t>FONDO ADMIN</t>
  </si>
  <si>
    <t>TOTAL PENDIENTE</t>
  </si>
  <si>
    <t>SANDRA KAVANAUGH</t>
  </si>
  <si>
    <t>LANCE Y RADANA MORGAN</t>
  </si>
  <si>
    <t>BANCO GENERAL</t>
  </si>
  <si>
    <t xml:space="preserve">COOPERATIVA DE PROFESIONALES, R.L. </t>
  </si>
  <si>
    <t>LUIS ENRIQUE QUIROS CORDERO</t>
  </si>
  <si>
    <t>G385623</t>
  </si>
  <si>
    <t>YANIRED GONZALEZ ALVARADO DE ADAMS</t>
  </si>
  <si>
    <t>8-307-182</t>
  </si>
  <si>
    <t>GANADERO / COMERCIANTE</t>
  </si>
  <si>
    <t>COMPRA OTRO INMUEBLE</t>
  </si>
  <si>
    <t>NO ENCONTRARON FINANCIAMIENTO</t>
  </si>
  <si>
    <t>KRIERSTIN CHURCH</t>
  </si>
  <si>
    <t>INDIRA GARCIA</t>
  </si>
  <si>
    <t>6-710-242</t>
  </si>
  <si>
    <t>Recibo</t>
  </si>
  <si>
    <t>ALLISON SMITH HARRIS</t>
  </si>
  <si>
    <t>AIR AVALUOS</t>
  </si>
  <si>
    <t>CARLOS ARAGON / MILAINE DOMINGUEZ</t>
  </si>
  <si>
    <t>MONTO GISA</t>
  </si>
  <si>
    <t>MONTO MULTIBANK</t>
  </si>
  <si>
    <t>MONTO CPP</t>
  </si>
  <si>
    <t>REGALIA</t>
  </si>
  <si>
    <t>CPP</t>
  </si>
  <si>
    <t>CPP FONDO PIGN</t>
  </si>
  <si>
    <t>APTO</t>
  </si>
  <si>
    <t>ABONO GISA COBRADO</t>
  </si>
  <si>
    <t>PENDIENTE GISA</t>
  </si>
  <si>
    <t>PENDIENTE MULTIBANK</t>
  </si>
  <si>
    <t>GASTOS LEGALES COBRADOS</t>
  </si>
  <si>
    <t>PENDIENTE GASTOS LEGALES</t>
  </si>
  <si>
    <t>FONDO ADM PENDIENTE</t>
  </si>
  <si>
    <t>FONDO ADM COBRADO</t>
  </si>
  <si>
    <t>MEDIDOR COBRADO</t>
  </si>
  <si>
    <t>MEDIDOR PENDIENTE</t>
  </si>
  <si>
    <t>PENDIENTE PRECIO APTO</t>
  </si>
  <si>
    <t>SALDO PENDIENTE3</t>
  </si>
  <si>
    <t>UNIDAD APTO</t>
  </si>
  <si>
    <t>ABONOS RECIBIDOS</t>
  </si>
  <si>
    <t>ricardo.herrera@pa.scotiabank.com /  6349-7898</t>
  </si>
  <si>
    <t>TOTALES</t>
  </si>
  <si>
    <t>DISPONIBLE</t>
  </si>
  <si>
    <t>VENDIDO</t>
  </si>
  <si>
    <t>VENTAS</t>
  </si>
  <si>
    <t>UNIDADES</t>
  </si>
  <si>
    <t>MES</t>
  </si>
  <si>
    <t>VENTAS CAÍDAS</t>
  </si>
  <si>
    <t xml:space="preserve">GRUPO DICOS </t>
  </si>
  <si>
    <t>EMPRESA ELECTRICIDAD</t>
  </si>
  <si>
    <t>JAMES STORK Y RUTH URIETA</t>
  </si>
  <si>
    <t>556318808 / 8-297-14</t>
  </si>
  <si>
    <t>LEO MC DONOUGH / JODI ELLIOT</t>
  </si>
  <si>
    <t>5654432828 / A27056946</t>
  </si>
  <si>
    <t>INSTRUCTOR / ADMINISTRADOR DE EMPRESAS</t>
  </si>
  <si>
    <t>PENALIZACIÓN</t>
  </si>
  <si>
    <t>PENALIZACIÓN COBRADO</t>
  </si>
  <si>
    <t>PENALIZACIÓN PENDIENTE</t>
  </si>
  <si>
    <t>CONTRATO FIRMADO</t>
  </si>
  <si>
    <t>NA</t>
  </si>
  <si>
    <t>CARMEN BERNASCONI</t>
  </si>
  <si>
    <t>EDUCADOR</t>
  </si>
  <si>
    <t>PANAMERICANA DE AVALUOS</t>
  </si>
  <si>
    <t>Cuenta de PERFIL DE INGRESOS</t>
  </si>
  <si>
    <t>X6314258</t>
  </si>
  <si>
    <t>SUIZA</t>
  </si>
  <si>
    <t>BOJAN MALISEVIC / ZORAN MALISEVIC</t>
  </si>
  <si>
    <t>BANESCO</t>
  </si>
  <si>
    <t>INSCRITO Y DESEMBOLSADO</t>
  </si>
  <si>
    <t>PENALIZACION</t>
  </si>
  <si>
    <t>8-429-490</t>
  </si>
  <si>
    <t>G</t>
  </si>
  <si>
    <t>JINELLY ROJAS</t>
  </si>
  <si>
    <t>GINA ARMUELLES</t>
  </si>
  <si>
    <t>MILITZA DEL CARMEN GONZALEZ</t>
  </si>
  <si>
    <t>DO PANAMA</t>
  </si>
  <si>
    <t>PAUL HINSHAW</t>
  </si>
  <si>
    <t>CPP REMANENTE</t>
  </si>
  <si>
    <t>HONORARIOS</t>
  </si>
  <si>
    <t>PORCENTAJE ABONADO</t>
  </si>
  <si>
    <t>MONTO A GISA</t>
  </si>
  <si>
    <t>MONTO A MULTIBANK</t>
  </si>
  <si>
    <t>JOSE ALEJANDRO DE LEON</t>
  </si>
  <si>
    <t>8-422-830</t>
  </si>
  <si>
    <t>ABOGADO</t>
  </si>
  <si>
    <t>N</t>
  </si>
  <si>
    <t>ACUERDO</t>
  </si>
  <si>
    <t>DARKO VASIC Y DANIEL KRAUSKOPF</t>
  </si>
  <si>
    <t>P961231QS Y P350367BI</t>
  </si>
  <si>
    <t>PROJECT MANAGER / IT CYBER SECURITY</t>
  </si>
  <si>
    <t xml:space="preserve">MARISOL CUESTA Y BELANGER REALTY PANAMA S.A. </t>
  </si>
  <si>
    <t>HL394139</t>
  </si>
  <si>
    <t>CONSULTORA COMERCIAL</t>
  </si>
  <si>
    <t>Cuenta de NACIONALIDAD</t>
  </si>
  <si>
    <t>ISABELLE BELANGER/DANIEL CARON</t>
  </si>
  <si>
    <t>LAFISE</t>
  </si>
  <si>
    <t>INSCRITA Y DESEMBOLSADA, POR ENTREGAR ESCRITURA PUBLICA</t>
  </si>
  <si>
    <t>ADELI ZAVALETA</t>
  </si>
  <si>
    <t>E-8-227576</t>
  </si>
  <si>
    <t>PERUANA</t>
  </si>
  <si>
    <t>INGENIERA</t>
  </si>
  <si>
    <t>NADIA RODRIGUEZ</t>
  </si>
  <si>
    <t>9-709-177</t>
  </si>
  <si>
    <t>FARMACÉTUTICA</t>
  </si>
  <si>
    <t>MELVA BELTRAN</t>
  </si>
  <si>
    <t>2-702-48</t>
  </si>
  <si>
    <t>GERENTE DE RECURSOS HUMANOS</t>
  </si>
  <si>
    <t xml:space="preserve">GESPROBAN </t>
  </si>
  <si>
    <t>?</t>
  </si>
  <si>
    <t>SANDRA KAVANAUGH/SHARON BOMFALK</t>
  </si>
  <si>
    <t>Escritura inscrita</t>
  </si>
  <si>
    <t>29-04-2026</t>
  </si>
  <si>
    <t>BANISTMO</t>
  </si>
  <si>
    <t>27-07-26: Protocolo retirado firmado por cliente</t>
  </si>
  <si>
    <t>LOUANNA ADAMS</t>
  </si>
  <si>
    <t>Pendiente contrato</t>
  </si>
  <si>
    <t>HECTOR CANTILLO</t>
  </si>
  <si>
    <t>06-08-26: EN CONFECCIÓN DE ESCRITURAS</t>
  </si>
  <si>
    <t>PAZ Y SALVO</t>
  </si>
  <si>
    <t>EUA</t>
  </si>
  <si>
    <t>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</si>
</sst>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4" formatCode="_-&quot;B/.&quot;* #,##0.00_-;\-&quot;B/.&quot;* #,##0.00_-;_-&quot;B/.&quot;* &quot;-&quot;??_-;_-@_-"/>
    <numFmt numFmtId="43" formatCode="_-* #,##0.00_-;\-* #,##0.00_-;_-* &quot;-&quot;??_-;_-@_-"/>
    <numFmt numFmtId="164" formatCode="_(* #,##0.00_);_(* \(#,##0.00\);_(* &quot;-&quot;??_);_(@_)"/>
    <numFmt numFmtId="165" formatCode="_([$B/.-180A]\ * #,##0.00_);_([$B/.-180A]\ * \(#,##0.00\);_([$B/.-180A]\ * &quot;-&quot;??_);_(@_)"/>
    <numFmt numFmtId="166" formatCode="&quot;B/.&quot;\ #,##0.00"/>
    <numFmt numFmtId="167" formatCode="[$-F800]dddd\,\ mmmm\ dd\,\ yyyy"/>
    <numFmt numFmtId="168" formatCode="dd/mm/yy;@"/>
    <numFmt numFmtId="169" formatCode="&quot;B/.&quot;#,##0.00"/>
    <numFmt numFmtId="170" formatCode="_(&quot;B/.&quot;\ * #,##0.00_);_(&quot;B/.&quot;\ * \(#,##0.00\);_(&quot;B/.&quot;\ * &quot;-&quot;??_);_(@_)"/>
    <numFmt numFmtId="171" formatCode="_-[$B/.-180A]* #,##0.00_-;\-[$B/.-180A]* #,##0.00_-;_-[$B/.-180A]* &quot;-&quot;??_-;_-@_-"/>
    <numFmt numFmtId="172" formatCode="_-* #,##0.0000_-;\-* #,##0.0000_-;_-* &quot;-&quot;??_-;_-@_-"/>
    <numFmt numFmtId="173" formatCode="0.0%"/>
    <numFmt numFmtId="174" formatCode="_-* #,##0.0_-;\-* #,##0.0_-;_-* &quot;-&quot;?_-;_-@_-"/>
  </numFmts>
  <fonts count="3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52B27"/>
      <name val="Arial"/>
      <family val="2"/>
    </font>
    <font>
      <sz val="11"/>
      <color rgb="FF152B27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2"/>
      <color rgb="FF18375E"/>
      <name val="Aptos Narrow"/>
      <scheme val="minor"/>
    </font>
    <font>
      <sz val="12"/>
      <name val="Aptos Narrow"/>
      <scheme val="minor"/>
    </font>
    <font>
      <sz val="12"/>
      <color rgb="FFFF0000"/>
      <name val="Aptos Narrow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  <font>
      <b/>
      <sz val="10"/>
      <color theme="0"/>
      <name val="Arial"/>
      <family val="2"/>
    </font>
    <font>
      <b/>
      <sz val="12"/>
      <color theme="3"/>
      <name val="Aptos Narrow"/>
      <scheme val="minor"/>
    </font>
    <font>
      <sz val="12"/>
      <color theme="3"/>
      <name val="Aptos Narrow"/>
      <scheme val="minor"/>
    </font>
    <font>
      <sz val="10"/>
      <color rgb="FF000000"/>
      <name val="Arial"/>
      <family val="2"/>
    </font>
    <font>
      <b/>
      <sz val="11"/>
      <name val="Aptos Narrow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scheme val="minor"/>
    </font>
    <font>
      <sz val="11"/>
      <color rgb="FF000000"/>
      <name val="Aptos Narrow"/>
      <scheme val="minor"/>
    </font>
    <font>
      <b/>
      <sz val="12"/>
      <color rgb="FF18375E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D591B"/>
        <bgColor indexed="64"/>
      </patternFill>
    </fill>
    <fill>
      <patternFill patternType="solid">
        <fgColor rgb="FF193735"/>
        <bgColor indexed="64"/>
      </patternFill>
    </fill>
    <fill>
      <patternFill patternType="solid">
        <fgColor rgb="FF18375E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8363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170" fontId="3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491">
    <xf numFmtId="0" fontId="0" fillId="0" borderId="0" xfId="0"/>
    <xf numFmtId="0" fontId="7" fillId="0" borderId="18" xfId="6" applyFont="1" applyBorder="1" applyAlignment="1">
      <alignment horizontal="center"/>
    </xf>
    <xf numFmtId="0" fontId="8" fillId="0" borderId="0" xfId="6" applyFont="1"/>
    <xf numFmtId="0" fontId="7" fillId="0" borderId="0" xfId="6" applyFont="1" applyAlignment="1">
      <alignment horizontal="center"/>
    </xf>
    <xf numFmtId="169" fontId="8" fillId="0" borderId="0" xfId="6" applyNumberFormat="1" applyFont="1"/>
    <xf numFmtId="169" fontId="8" fillId="4" borderId="0" xfId="6" applyNumberFormat="1" applyFont="1" applyFill="1"/>
    <xf numFmtId="0" fontId="7" fillId="0" borderId="1" xfId="6" applyFont="1" applyBorder="1"/>
    <xf numFmtId="0" fontId="8" fillId="0" borderId="1" xfId="6" applyFont="1" applyBorder="1"/>
    <xf numFmtId="169" fontId="8" fillId="0" borderId="1" xfId="6" applyNumberFormat="1" applyFont="1" applyBorder="1"/>
    <xf numFmtId="169" fontId="7" fillId="0" borderId="1" xfId="6" applyNumberFormat="1" applyFont="1" applyBorder="1"/>
    <xf numFmtId="0" fontId="7" fillId="0" borderId="16" xfId="6" applyFont="1" applyBorder="1"/>
    <xf numFmtId="0" fontId="7" fillId="0" borderId="15" xfId="6" applyFont="1" applyBorder="1"/>
    <xf numFmtId="170" fontId="8" fillId="0" borderId="0" xfId="7" applyFont="1"/>
    <xf numFmtId="44" fontId="8" fillId="10" borderId="0" xfId="6" applyNumberFormat="1" applyFont="1" applyFill="1"/>
    <xf numFmtId="0" fontId="5" fillId="0" borderId="12" xfId="5" applyFont="1" applyBorder="1" applyAlignment="1">
      <alignment horizontal="center" vertical="center" wrapText="1"/>
    </xf>
    <xf numFmtId="0" fontId="4" fillId="0" borderId="2" xfId="5" applyFont="1" applyBorder="1" applyAlignment="1">
      <alignment horizontal="center" vertical="center" wrapText="1"/>
    </xf>
    <xf numFmtId="168" fontId="4" fillId="0" borderId="17" xfId="5" applyNumberFormat="1" applyFont="1" applyBorder="1" applyAlignment="1">
      <alignment horizontal="center" vertical="center" wrapText="1"/>
    </xf>
    <xf numFmtId="0" fontId="4" fillId="0" borderId="1" xfId="5" applyFont="1" applyBorder="1" applyAlignment="1">
      <alignment horizontal="center" vertical="center" wrapText="1"/>
    </xf>
    <xf numFmtId="0" fontId="5" fillId="0" borderId="3" xfId="5" applyFont="1" applyBorder="1" applyAlignment="1">
      <alignment horizontal="center" vertical="center" wrapText="1"/>
    </xf>
    <xf numFmtId="168" fontId="4" fillId="0" borderId="8" xfId="5" applyNumberFormat="1" applyFont="1" applyBorder="1" applyAlignment="1">
      <alignment horizontal="center" vertical="center" wrapText="1"/>
    </xf>
    <xf numFmtId="0" fontId="4" fillId="0" borderId="8" xfId="5" applyFont="1" applyBorder="1" applyAlignment="1">
      <alignment horizontal="center" vertical="center" wrapText="1"/>
    </xf>
    <xf numFmtId="15" fontId="4" fillId="0" borderId="8" xfId="5" applyNumberFormat="1" applyFont="1" applyBorder="1" applyAlignment="1">
      <alignment horizontal="center" vertical="center" wrapText="1"/>
    </xf>
    <xf numFmtId="15" fontId="4" fillId="0" borderId="1" xfId="5" applyNumberFormat="1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2" borderId="1" xfId="2" applyFont="1" applyFill="1" applyBorder="1" applyAlignment="1">
      <alignment horizontal="center" vertical="center"/>
    </xf>
    <xf numFmtId="17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7" fillId="3" borderId="16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 wrapText="1"/>
    </xf>
    <xf numFmtId="167" fontId="6" fillId="5" borderId="26" xfId="0" applyNumberFormat="1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7" fillId="16" borderId="10" xfId="0" applyFont="1" applyFill="1" applyBorder="1" applyAlignment="1">
      <alignment horizontal="center" vertical="center" wrapText="1"/>
    </xf>
    <xf numFmtId="166" fontId="17" fillId="16" borderId="10" xfId="0" applyNumberFormat="1" applyFont="1" applyFill="1" applyBorder="1" applyAlignment="1">
      <alignment horizontal="center" vertical="center" wrapText="1"/>
    </xf>
    <xf numFmtId="15" fontId="17" fillId="16" borderId="10" xfId="0" applyNumberFormat="1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44" fontId="6" fillId="11" borderId="7" xfId="2" applyFont="1" applyFill="1" applyBorder="1" applyAlignment="1">
      <alignment horizontal="center" vertical="center" wrapText="1"/>
    </xf>
    <xf numFmtId="0" fontId="6" fillId="15" borderId="7" xfId="0" applyFont="1" applyFill="1" applyBorder="1" applyAlignment="1">
      <alignment horizontal="center" vertical="center" wrapText="1"/>
    </xf>
    <xf numFmtId="167" fontId="6" fillId="15" borderId="7" xfId="0" applyNumberFormat="1" applyFont="1" applyFill="1" applyBorder="1" applyAlignment="1">
      <alignment horizontal="center" vertical="center" wrapText="1"/>
    </xf>
    <xf numFmtId="167" fontId="6" fillId="12" borderId="7" xfId="0" applyNumberFormat="1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5" fontId="18" fillId="2" borderId="1" xfId="0" applyNumberFormat="1" applyFont="1" applyFill="1" applyBorder="1" applyAlignment="1">
      <alignment horizontal="center" vertical="center" wrapText="1"/>
    </xf>
    <xf numFmtId="2" fontId="18" fillId="2" borderId="1" xfId="0" applyNumberFormat="1" applyFont="1" applyFill="1" applyBorder="1" applyAlignment="1" applyProtection="1">
      <alignment horizontal="center" vertical="center"/>
      <protection locked="0"/>
    </xf>
    <xf numFmtId="2" fontId="18" fillId="2" borderId="1" xfId="0" applyNumberFormat="1" applyFont="1" applyFill="1" applyBorder="1" applyAlignment="1">
      <alignment horizontal="center" vertical="center"/>
    </xf>
    <xf numFmtId="44" fontId="18" fillId="2" borderId="1" xfId="2" applyFont="1" applyFill="1" applyBorder="1" applyAlignment="1" applyProtection="1">
      <alignment horizontal="center" vertical="center"/>
      <protection locked="0"/>
    </xf>
    <xf numFmtId="44" fontId="18" fillId="2" borderId="1" xfId="2" applyFont="1" applyFill="1" applyBorder="1" applyAlignment="1">
      <alignment horizontal="center" vertical="center"/>
    </xf>
    <xf numFmtId="165" fontId="18" fillId="9" borderId="1" xfId="3" applyNumberFormat="1" applyFont="1" applyFill="1" applyBorder="1" applyAlignment="1">
      <alignment horizontal="center" vertical="center" wrapText="1"/>
    </xf>
    <xf numFmtId="15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 applyProtection="1">
      <alignment horizontal="center" vertical="center"/>
      <protection locked="0"/>
    </xf>
    <xf numFmtId="44" fontId="18" fillId="2" borderId="1" xfId="0" applyNumberFormat="1" applyFont="1" applyFill="1" applyBorder="1" applyAlignment="1" applyProtection="1">
      <alignment horizontal="center" vertical="center"/>
      <protection locked="0"/>
    </xf>
    <xf numFmtId="0" fontId="21" fillId="2" borderId="1" xfId="0" applyFont="1" applyFill="1" applyBorder="1" applyAlignment="1">
      <alignment horizontal="center" vertical="center"/>
    </xf>
    <xf numFmtId="44" fontId="18" fillId="2" borderId="1" xfId="2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" fontId="18" fillId="2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49" fontId="18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9" borderId="1" xfId="0" applyFont="1" applyFill="1" applyBorder="1" applyAlignment="1">
      <alignment horizontal="center" vertical="center" wrapText="1"/>
    </xf>
    <xf numFmtId="15" fontId="18" fillId="9" borderId="1" xfId="0" applyNumberFormat="1" applyFont="1" applyFill="1" applyBorder="1" applyAlignment="1">
      <alignment horizontal="center" vertical="center" wrapText="1"/>
    </xf>
    <xf numFmtId="2" fontId="18" fillId="9" borderId="1" xfId="0" applyNumberFormat="1" applyFont="1" applyFill="1" applyBorder="1" applyAlignment="1" applyProtection="1">
      <alignment horizontal="center" vertical="center" wrapText="1"/>
      <protection locked="0"/>
    </xf>
    <xf numFmtId="2" fontId="18" fillId="9" borderId="1" xfId="0" applyNumberFormat="1" applyFont="1" applyFill="1" applyBorder="1" applyAlignment="1">
      <alignment horizontal="center" vertical="center" wrapText="1"/>
    </xf>
    <xf numFmtId="44" fontId="18" fillId="9" borderId="1" xfId="2" applyFont="1" applyFill="1" applyBorder="1" applyAlignment="1" applyProtection="1">
      <alignment horizontal="center" vertical="center" wrapText="1"/>
      <protection locked="0"/>
    </xf>
    <xf numFmtId="44" fontId="18" fillId="9" borderId="1" xfId="2" applyFont="1" applyFill="1" applyBorder="1" applyAlignment="1">
      <alignment horizontal="center" vertical="center" wrapText="1"/>
    </xf>
    <xf numFmtId="44" fontId="18" fillId="9" borderId="1" xfId="2" applyFont="1" applyFill="1" applyBorder="1" applyAlignment="1" applyProtection="1">
      <alignment horizontal="center" vertical="center"/>
      <protection locked="0"/>
    </xf>
    <xf numFmtId="0" fontId="18" fillId="9" borderId="1" xfId="0" applyFont="1" applyFill="1" applyBorder="1" applyAlignment="1" applyProtection="1">
      <alignment horizontal="center" vertical="center" wrapText="1"/>
      <protection locked="0"/>
    </xf>
    <xf numFmtId="44" fontId="23" fillId="9" borderId="1" xfId="8" applyNumberFormat="1" applyFont="1" applyFill="1" applyBorder="1" applyAlignment="1" applyProtection="1">
      <alignment horizontal="center" vertical="center" wrapText="1"/>
      <protection locked="0"/>
    </xf>
    <xf numFmtId="44" fontId="18" fillId="9" borderId="1" xfId="8" applyNumberFormat="1" applyFont="1" applyFill="1" applyBorder="1" applyAlignment="1" applyProtection="1">
      <alignment horizontal="center" vertical="center" wrapText="1"/>
      <protection locked="0"/>
    </xf>
    <xf numFmtId="15" fontId="18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9" borderId="1" xfId="0" applyFont="1" applyFill="1" applyBorder="1" applyAlignment="1" applyProtection="1">
      <alignment horizontal="center" vertical="center"/>
      <protection locked="0"/>
    </xf>
    <xf numFmtId="44" fontId="18" fillId="9" borderId="1" xfId="0" applyNumberFormat="1" applyFont="1" applyFill="1" applyBorder="1" applyAlignment="1" applyProtection="1">
      <alignment horizontal="center" vertical="center"/>
      <protection locked="0"/>
    </xf>
    <xf numFmtId="15" fontId="18" fillId="9" borderId="1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 wrapText="1"/>
    </xf>
    <xf numFmtId="44" fontId="18" fillId="9" borderId="1" xfId="2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 wrapText="1"/>
    </xf>
    <xf numFmtId="1" fontId="18" fillId="9" borderId="1" xfId="0" applyNumberFormat="1" applyFont="1" applyFill="1" applyBorder="1" applyAlignment="1">
      <alignment horizontal="center" vertical="center"/>
    </xf>
    <xf numFmtId="167" fontId="18" fillId="9" borderId="1" xfId="0" applyNumberFormat="1" applyFont="1" applyFill="1" applyBorder="1" applyAlignment="1">
      <alignment horizontal="center" vertical="center"/>
    </xf>
    <xf numFmtId="167" fontId="18" fillId="9" borderId="1" xfId="0" applyNumberFormat="1" applyFont="1" applyFill="1" applyBorder="1" applyAlignment="1">
      <alignment horizontal="center" vertical="center" wrapText="1"/>
    </xf>
    <xf numFmtId="1" fontId="18" fillId="9" borderId="1" xfId="0" applyNumberFormat="1" applyFont="1" applyFill="1" applyBorder="1" applyAlignment="1">
      <alignment horizontal="center" vertical="center" wrapText="1"/>
    </xf>
    <xf numFmtId="0" fontId="24" fillId="13" borderId="1" xfId="0" applyFont="1" applyFill="1" applyBorder="1" applyAlignment="1" applyProtection="1">
      <alignment horizontal="center" vertical="center"/>
      <protection locked="0"/>
    </xf>
    <xf numFmtId="15" fontId="24" fillId="13" borderId="1" xfId="0" applyNumberFormat="1" applyFont="1" applyFill="1" applyBorder="1" applyAlignment="1" applyProtection="1">
      <alignment horizontal="center" vertical="center"/>
      <protection locked="0"/>
    </xf>
    <xf numFmtId="49" fontId="18" fillId="9" borderId="1" xfId="0" applyNumberFormat="1" applyFont="1" applyFill="1" applyBorder="1" applyAlignment="1" applyProtection="1">
      <alignment horizontal="center" vertical="center"/>
      <protection locked="0"/>
    </xf>
    <xf numFmtId="0" fontId="20" fillId="9" borderId="1" xfId="0" applyFont="1" applyFill="1" applyBorder="1" applyAlignment="1">
      <alignment horizontal="center" vertical="center" wrapText="1"/>
    </xf>
    <xf numFmtId="2" fontId="18" fillId="9" borderId="1" xfId="0" applyNumberFormat="1" applyFont="1" applyFill="1" applyBorder="1" applyAlignment="1" applyProtection="1">
      <alignment horizontal="center" vertical="center"/>
      <protection locked="0"/>
    </xf>
    <xf numFmtId="2" fontId="18" fillId="9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44" fontId="18" fillId="9" borderId="1" xfId="2" applyFont="1" applyFill="1" applyBorder="1" applyAlignment="1">
      <alignment vertical="center"/>
    </xf>
    <xf numFmtId="0" fontId="18" fillId="9" borderId="1" xfId="0" applyFont="1" applyFill="1" applyBorder="1" applyAlignment="1">
      <alignment vertical="center" wrapText="1"/>
    </xf>
    <xf numFmtId="9" fontId="18" fillId="9" borderId="1" xfId="3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19" fillId="9" borderId="14" xfId="0" applyFont="1" applyFill="1" applyBorder="1" applyAlignment="1">
      <alignment horizontal="center" vertical="center" wrapText="1"/>
    </xf>
    <xf numFmtId="49" fontId="18" fillId="9" borderId="14" xfId="0" applyNumberFormat="1" applyFont="1" applyFill="1" applyBorder="1" applyAlignment="1" applyProtection="1">
      <alignment horizontal="center" vertical="center"/>
      <protection locked="0"/>
    </xf>
    <xf numFmtId="0" fontId="18" fillId="9" borderId="14" xfId="0" applyFont="1" applyFill="1" applyBorder="1" applyAlignment="1">
      <alignment horizontal="center" vertical="center" wrapText="1"/>
    </xf>
    <xf numFmtId="0" fontId="20" fillId="9" borderId="14" xfId="0" applyFont="1" applyFill="1" applyBorder="1" applyAlignment="1">
      <alignment horizontal="center" vertical="center" wrapText="1"/>
    </xf>
    <xf numFmtId="0" fontId="24" fillId="17" borderId="14" xfId="0" applyFont="1" applyFill="1" applyBorder="1" applyAlignment="1">
      <alignment horizontal="center" vertical="center" wrapText="1"/>
    </xf>
    <xf numFmtId="15" fontId="18" fillId="9" borderId="14" xfId="0" applyNumberFormat="1" applyFont="1" applyFill="1" applyBorder="1" applyAlignment="1">
      <alignment horizontal="center" vertical="center" wrapText="1"/>
    </xf>
    <xf numFmtId="2" fontId="18" fillId="9" borderId="14" xfId="0" applyNumberFormat="1" applyFont="1" applyFill="1" applyBorder="1" applyAlignment="1" applyProtection="1">
      <alignment horizontal="center" vertical="center"/>
      <protection locked="0"/>
    </xf>
    <xf numFmtId="2" fontId="18" fillId="9" borderId="14" xfId="0" applyNumberFormat="1" applyFont="1" applyFill="1" applyBorder="1" applyAlignment="1">
      <alignment horizontal="center" vertical="center"/>
    </xf>
    <xf numFmtId="44" fontId="18" fillId="9" borderId="14" xfId="2" applyFont="1" applyFill="1" applyBorder="1" applyAlignment="1" applyProtection="1">
      <alignment horizontal="center" vertical="center"/>
      <protection locked="0"/>
    </xf>
    <xf numFmtId="44" fontId="18" fillId="9" borderId="14" xfId="2" applyFont="1" applyFill="1" applyBorder="1" applyAlignment="1">
      <alignment horizontal="center" vertical="center"/>
    </xf>
    <xf numFmtId="165" fontId="18" fillId="9" borderId="14" xfId="3" applyNumberFormat="1" applyFont="1" applyFill="1" applyBorder="1" applyAlignment="1">
      <alignment horizontal="center" vertical="center" wrapText="1"/>
    </xf>
    <xf numFmtId="15" fontId="18" fillId="9" borderId="14" xfId="0" applyNumberFormat="1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horizontal="center" vertical="center"/>
    </xf>
    <xf numFmtId="0" fontId="24" fillId="17" borderId="14" xfId="0" applyFont="1" applyFill="1" applyBorder="1" applyAlignment="1" applyProtection="1">
      <alignment horizontal="center" vertical="center"/>
      <protection locked="0"/>
    </xf>
    <xf numFmtId="0" fontId="21" fillId="9" borderId="14" xfId="0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vertical="center" wrapText="1"/>
    </xf>
    <xf numFmtId="1" fontId="18" fillId="9" borderId="14" xfId="0" applyNumberFormat="1" applyFont="1" applyFill="1" applyBorder="1" applyAlignment="1">
      <alignment horizontal="center" vertical="center"/>
    </xf>
    <xf numFmtId="167" fontId="18" fillId="9" borderId="14" xfId="0" applyNumberFormat="1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 wrapText="1"/>
    </xf>
    <xf numFmtId="49" fontId="18" fillId="9" borderId="5" xfId="0" applyNumberFormat="1" applyFont="1" applyFill="1" applyBorder="1" applyAlignment="1" applyProtection="1">
      <alignment horizontal="center" vertical="center"/>
      <protection locked="0"/>
    </xf>
    <xf numFmtId="0" fontId="18" fillId="9" borderId="5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 wrapText="1"/>
    </xf>
    <xf numFmtId="15" fontId="18" fillId="9" borderId="5" xfId="0" applyNumberFormat="1" applyFont="1" applyFill="1" applyBorder="1" applyAlignment="1">
      <alignment horizontal="center" vertical="center" wrapText="1"/>
    </xf>
    <xf numFmtId="2" fontId="18" fillId="9" borderId="5" xfId="0" applyNumberFormat="1" applyFont="1" applyFill="1" applyBorder="1" applyAlignment="1" applyProtection="1">
      <alignment horizontal="center" vertical="center"/>
      <protection locked="0"/>
    </xf>
    <xf numFmtId="2" fontId="18" fillId="9" borderId="5" xfId="0" applyNumberFormat="1" applyFont="1" applyFill="1" applyBorder="1" applyAlignment="1">
      <alignment horizontal="center" vertical="center"/>
    </xf>
    <xf numFmtId="44" fontId="18" fillId="9" borderId="5" xfId="2" applyFont="1" applyFill="1" applyBorder="1" applyAlignment="1" applyProtection="1">
      <alignment horizontal="center" vertical="center"/>
      <protection locked="0"/>
    </xf>
    <xf numFmtId="44" fontId="18" fillId="9" borderId="5" xfId="2" applyFont="1" applyFill="1" applyBorder="1" applyAlignment="1">
      <alignment horizontal="center" vertical="center"/>
    </xf>
    <xf numFmtId="9" fontId="18" fillId="9" borderId="5" xfId="3" applyFont="1" applyFill="1" applyBorder="1" applyAlignment="1">
      <alignment horizontal="center" vertical="center"/>
    </xf>
    <xf numFmtId="165" fontId="18" fillId="9" borderId="5" xfId="3" applyNumberFormat="1" applyFont="1" applyFill="1" applyBorder="1" applyAlignment="1">
      <alignment horizontal="center" vertical="center" wrapText="1"/>
    </xf>
    <xf numFmtId="15" fontId="18" fillId="9" borderId="5" xfId="0" applyNumberFormat="1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8" fillId="9" borderId="5" xfId="0" applyFont="1" applyFill="1" applyBorder="1" applyAlignment="1" applyProtection="1">
      <alignment horizontal="center" vertical="center"/>
      <protection locked="0"/>
    </xf>
    <xf numFmtId="44" fontId="18" fillId="9" borderId="5" xfId="2" applyFont="1" applyFill="1" applyBorder="1" applyAlignment="1" applyProtection="1">
      <alignment horizontal="center" vertical="center" wrapText="1"/>
      <protection locked="0"/>
    </xf>
    <xf numFmtId="44" fontId="18" fillId="9" borderId="5" xfId="8" applyNumberFormat="1" applyFont="1" applyFill="1" applyBorder="1" applyAlignment="1" applyProtection="1">
      <alignment horizontal="center" vertical="center" wrapText="1"/>
      <protection locked="0"/>
    </xf>
    <xf numFmtId="15" fontId="21" fillId="9" borderId="5" xfId="0" applyNumberFormat="1" applyFont="1" applyFill="1" applyBorder="1" applyAlignment="1" applyProtection="1">
      <alignment horizontal="center" vertical="center" wrapText="1"/>
      <protection locked="0"/>
    </xf>
    <xf numFmtId="15" fontId="18" fillId="9" borderId="5" xfId="0" applyNumberFormat="1" applyFont="1" applyFill="1" applyBorder="1" applyAlignment="1" applyProtection="1">
      <alignment horizontal="center" vertical="center" wrapText="1"/>
      <protection locked="0"/>
    </xf>
    <xf numFmtId="0" fontId="21" fillId="9" borderId="5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vertical="center" wrapText="1"/>
    </xf>
    <xf numFmtId="1" fontId="18" fillId="9" borderId="5" xfId="0" applyNumberFormat="1" applyFont="1" applyFill="1" applyBorder="1" applyAlignment="1">
      <alignment horizontal="center" vertical="center"/>
    </xf>
    <xf numFmtId="167" fontId="18" fillId="9" borderId="5" xfId="0" applyNumberFormat="1" applyFont="1" applyFill="1" applyBorder="1" applyAlignment="1">
      <alignment horizontal="center" vertical="center"/>
    </xf>
    <xf numFmtId="167" fontId="18" fillId="9" borderId="1" xfId="8" applyNumberFormat="1" applyFont="1" applyFill="1" applyBorder="1" applyAlignment="1" applyProtection="1">
      <alignment horizontal="center" vertical="center" wrapText="1"/>
      <protection locked="0"/>
    </xf>
    <xf numFmtId="0" fontId="18" fillId="2" borderId="1" xfId="0" applyFont="1" applyFill="1" applyBorder="1" applyAlignment="1">
      <alignment horizontal="left" vertical="center" wrapText="1"/>
    </xf>
    <xf numFmtId="15" fontId="1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4" fillId="2" borderId="1" xfId="0" applyFont="1" applyFill="1" applyBorder="1" applyAlignment="1" applyProtection="1">
      <alignment horizontal="center" vertical="center"/>
      <protection locked="0"/>
    </xf>
    <xf numFmtId="0" fontId="24" fillId="17" borderId="1" xfId="0" applyFont="1" applyFill="1" applyBorder="1" applyAlignment="1" applyProtection="1">
      <alignment horizontal="center" vertical="center"/>
      <protection locked="0"/>
    </xf>
    <xf numFmtId="15" fontId="24" fillId="17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18" fillId="9" borderId="14" xfId="0" applyFont="1" applyFill="1" applyBorder="1" applyAlignment="1">
      <alignment vertical="center"/>
    </xf>
    <xf numFmtId="0" fontId="24" fillId="17" borderId="5" xfId="0" applyFont="1" applyFill="1" applyBorder="1" applyAlignment="1">
      <alignment horizontal="center" vertical="center" wrapText="1"/>
    </xf>
    <xf numFmtId="0" fontId="24" fillId="17" borderId="5" xfId="0" applyFont="1" applyFill="1" applyBorder="1" applyAlignment="1" applyProtection="1">
      <alignment horizontal="center" vertical="center"/>
      <protection locked="0"/>
    </xf>
    <xf numFmtId="0" fontId="18" fillId="9" borderId="5" xfId="0" applyFont="1" applyFill="1" applyBorder="1" applyAlignment="1">
      <alignment vertical="center"/>
    </xf>
    <xf numFmtId="44" fontId="23" fillId="9" borderId="1" xfId="8" applyNumberFormat="1" applyFont="1" applyFill="1" applyBorder="1" applyAlignment="1" applyProtection="1">
      <alignment horizontal="center" vertical="center"/>
      <protection locked="0"/>
    </xf>
    <xf numFmtId="0" fontId="18" fillId="9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horizontal="center" vertical="center" wrapText="1"/>
    </xf>
    <xf numFmtId="44" fontId="18" fillId="2" borderId="14" xfId="2" applyFont="1" applyFill="1" applyBorder="1" applyAlignment="1" applyProtection="1">
      <alignment horizontal="center" vertical="center"/>
      <protection locked="0"/>
    </xf>
    <xf numFmtId="44" fontId="18" fillId="2" borderId="14" xfId="2" applyFont="1" applyFill="1" applyBorder="1" applyAlignment="1">
      <alignment horizontal="center" vertical="center"/>
    </xf>
    <xf numFmtId="15" fontId="18" fillId="2" borderId="14" xfId="0" applyNumberFormat="1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15" fontId="18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14" xfId="0" applyFont="1" applyFill="1" applyBorder="1" applyAlignment="1">
      <alignment horizontal="center" vertical="center"/>
    </xf>
    <xf numFmtId="44" fontId="18" fillId="2" borderId="14" xfId="2" applyFont="1" applyFill="1" applyBorder="1" applyAlignment="1">
      <alignment vertical="center"/>
    </xf>
    <xf numFmtId="1" fontId="18" fillId="2" borderId="14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4" fillId="13" borderId="5" xfId="0" applyFont="1" applyFill="1" applyBorder="1" applyAlignment="1">
      <alignment horizontal="center" vertical="center" wrapText="1"/>
    </xf>
    <xf numFmtId="15" fontId="18" fillId="2" borderId="5" xfId="0" applyNumberFormat="1" applyFont="1" applyFill="1" applyBorder="1" applyAlignment="1">
      <alignment horizontal="center" vertical="center" wrapText="1"/>
    </xf>
    <xf numFmtId="44" fontId="18" fillId="2" borderId="5" xfId="2" applyFont="1" applyFill="1" applyBorder="1" applyAlignment="1" applyProtection="1">
      <alignment horizontal="center" vertical="center"/>
      <protection locked="0"/>
    </xf>
    <xf numFmtId="44" fontId="18" fillId="2" borderId="5" xfId="2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15" fontId="18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8" fillId="2" borderId="5" xfId="0" applyFont="1" applyFill="1" applyBorder="1" applyAlignment="1" applyProtection="1">
      <alignment horizontal="center" vertical="center" wrapText="1"/>
      <protection locked="0"/>
    </xf>
    <xf numFmtId="44" fontId="18" fillId="2" borderId="5" xfId="0" applyNumberFormat="1" applyFont="1" applyFill="1" applyBorder="1" applyAlignment="1" applyProtection="1">
      <alignment horizontal="center" vertical="center"/>
      <protection locked="0"/>
    </xf>
    <xf numFmtId="0" fontId="21" fillId="2" borderId="5" xfId="0" applyFont="1" applyFill="1" applyBorder="1" applyAlignment="1">
      <alignment horizontal="center" vertical="center"/>
    </xf>
    <xf numFmtId="44" fontId="18" fillId="2" borderId="5" xfId="2" applyFont="1" applyFill="1" applyBorder="1" applyAlignment="1">
      <alignment vertical="center"/>
    </xf>
    <xf numFmtId="1" fontId="18" fillId="2" borderId="5" xfId="0" applyNumberFormat="1" applyFont="1" applyFill="1" applyBorder="1" applyAlignment="1">
      <alignment horizontal="center" vertical="center"/>
    </xf>
    <xf numFmtId="0" fontId="18" fillId="2" borderId="14" xfId="0" applyFont="1" applyFill="1" applyBorder="1" applyAlignment="1" applyProtection="1">
      <alignment horizontal="center" vertical="center"/>
      <protection locked="0"/>
    </xf>
    <xf numFmtId="0" fontId="18" fillId="2" borderId="14" xfId="0" applyFont="1" applyFill="1" applyBorder="1" applyAlignment="1">
      <alignment vertical="center"/>
    </xf>
    <xf numFmtId="4" fontId="18" fillId="9" borderId="1" xfId="0" applyNumberFormat="1" applyFont="1" applyFill="1" applyBorder="1" applyAlignment="1">
      <alignment horizontal="center" vertical="center"/>
    </xf>
    <xf numFmtId="44" fontId="24" fillId="17" borderId="1" xfId="0" applyNumberFormat="1" applyFont="1" applyFill="1" applyBorder="1" applyAlignment="1" applyProtection="1">
      <alignment horizontal="center" vertical="center" wrapText="1"/>
      <protection locked="0"/>
    </xf>
    <xf numFmtId="4" fontId="18" fillId="2" borderId="1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 applyProtection="1">
      <alignment horizontal="left" vertical="center" wrapText="1"/>
      <protection locked="0"/>
    </xf>
    <xf numFmtId="0" fontId="18" fillId="2" borderId="5" xfId="0" applyFont="1" applyFill="1" applyBorder="1" applyAlignment="1" applyProtection="1">
      <alignment horizontal="left" vertical="center" wrapText="1"/>
      <protection locked="0"/>
    </xf>
    <xf numFmtId="0" fontId="17" fillId="0" borderId="5" xfId="0" applyFont="1" applyBorder="1" applyAlignment="1" applyProtection="1">
      <alignment horizontal="left" vertical="center" wrapText="1"/>
      <protection locked="0"/>
    </xf>
    <xf numFmtId="0" fontId="18" fillId="2" borderId="5" xfId="0" applyFont="1" applyFill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7" fillId="2" borderId="5" xfId="0" applyFont="1" applyFill="1" applyBorder="1" applyAlignment="1">
      <alignment vertical="center"/>
    </xf>
    <xf numFmtId="167" fontId="18" fillId="0" borderId="5" xfId="0" applyNumberFormat="1" applyFont="1" applyBorder="1" applyAlignment="1">
      <alignment vertical="center"/>
    </xf>
    <xf numFmtId="44" fontId="12" fillId="2" borderId="5" xfId="0" applyNumberFormat="1" applyFont="1" applyFill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167" fontId="18" fillId="0" borderId="0" xfId="0" applyNumberFormat="1" applyFont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 wrapText="1"/>
    </xf>
    <xf numFmtId="44" fontId="18" fillId="0" borderId="0" xfId="2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vertical="center"/>
    </xf>
    <xf numFmtId="44" fontId="18" fillId="0" borderId="0" xfId="2" applyFont="1" applyAlignment="1">
      <alignment vertical="center"/>
    </xf>
    <xf numFmtId="0" fontId="18" fillId="0" borderId="0" xfId="0" applyFont="1" applyAlignment="1">
      <alignment horizontal="right" vertical="center"/>
    </xf>
    <xf numFmtId="169" fontId="18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7" fontId="6" fillId="19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9" fontId="7" fillId="0" borderId="0" xfId="6" applyNumberFormat="1" applyFont="1"/>
    <xf numFmtId="167" fontId="18" fillId="9" borderId="5" xfId="2" applyNumberFormat="1" applyFont="1" applyFill="1" applyBorder="1" applyAlignment="1" applyProtection="1">
      <alignment horizontal="center" vertical="center"/>
      <protection locked="0"/>
    </xf>
    <xf numFmtId="167" fontId="18" fillId="9" borderId="5" xfId="2" applyNumberFormat="1" applyFont="1" applyFill="1" applyBorder="1" applyAlignment="1" applyProtection="1">
      <alignment horizontal="center" vertical="center" wrapText="1"/>
      <protection locked="0"/>
    </xf>
    <xf numFmtId="44" fontId="0" fillId="9" borderId="5" xfId="2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44" fontId="0" fillId="9" borderId="1" xfId="2" applyFont="1" applyFill="1" applyBorder="1" applyAlignment="1">
      <alignment horizontal="center" vertical="center"/>
    </xf>
    <xf numFmtId="44" fontId="0" fillId="9" borderId="14" xfId="2" applyFont="1" applyFill="1" applyBorder="1" applyAlignment="1">
      <alignment horizontal="center" vertical="center"/>
    </xf>
    <xf numFmtId="44" fontId="0" fillId="2" borderId="1" xfId="2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15" fontId="0" fillId="9" borderId="1" xfId="0" applyNumberFormat="1" applyFill="1" applyBorder="1" applyAlignment="1">
      <alignment horizontal="center" vertical="center"/>
    </xf>
    <xf numFmtId="49" fontId="18" fillId="9" borderId="1" xfId="1" applyNumberFormat="1" applyFont="1" applyFill="1" applyBorder="1" applyAlignment="1" applyProtection="1">
      <alignment horizontal="center" vertical="center"/>
      <protection locked="0"/>
    </xf>
    <xf numFmtId="15" fontId="18" fillId="9" borderId="14" xfId="0" applyNumberFormat="1" applyFont="1" applyFill="1" applyBorder="1" applyAlignment="1" applyProtection="1">
      <alignment horizontal="center" vertical="center" wrapText="1"/>
      <protection locked="0"/>
    </xf>
    <xf numFmtId="0" fontId="26" fillId="9" borderId="14" xfId="0" applyFont="1" applyFill="1" applyBorder="1" applyAlignment="1">
      <alignment horizontal="center" vertical="center" wrapText="1"/>
    </xf>
    <xf numFmtId="44" fontId="0" fillId="9" borderId="1" xfId="2" applyFont="1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>
      <alignment horizontal="center" vertical="center" wrapText="1"/>
    </xf>
    <xf numFmtId="49" fontId="18" fillId="2" borderId="5" xfId="0" applyNumberFormat="1" applyFont="1" applyFill="1" applyBorder="1" applyAlignment="1" applyProtection="1">
      <alignment horizontal="center" vertical="center"/>
      <protection locked="0"/>
    </xf>
    <xf numFmtId="4" fontId="18" fillId="2" borderId="5" xfId="0" applyNumberFormat="1" applyFont="1" applyFill="1" applyBorder="1" applyAlignment="1">
      <alignment horizontal="center" vertical="center"/>
    </xf>
    <xf numFmtId="0" fontId="18" fillId="2" borderId="5" xfId="0" applyFont="1" applyFill="1" applyBorder="1" applyAlignment="1" applyProtection="1">
      <alignment horizontal="center" vertical="center"/>
      <protection locked="0"/>
    </xf>
    <xf numFmtId="0" fontId="2" fillId="3" borderId="30" xfId="0" applyFont="1" applyFill="1" applyBorder="1" applyAlignment="1">
      <alignment horizontal="center" vertical="center" wrapText="1"/>
    </xf>
    <xf numFmtId="44" fontId="18" fillId="0" borderId="0" xfId="2" applyFont="1" applyFill="1" applyAlignment="1">
      <alignment vertical="center"/>
    </xf>
    <xf numFmtId="44" fontId="18" fillId="0" borderId="0" xfId="2" applyFont="1" applyFill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44" fontId="18" fillId="0" borderId="0" xfId="2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 wrapText="1"/>
    </xf>
    <xf numFmtId="4" fontId="18" fillId="2" borderId="1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67" fontId="18" fillId="0" borderId="5" xfId="0" applyNumberFormat="1" applyFont="1" applyBorder="1" applyAlignment="1">
      <alignment horizontal="center" vertical="center"/>
    </xf>
    <xf numFmtId="0" fontId="0" fillId="9" borderId="14" xfId="0" applyFill="1" applyBorder="1" applyAlignment="1">
      <alignment vertical="center" wrapText="1"/>
    </xf>
    <xf numFmtId="0" fontId="0" fillId="9" borderId="1" xfId="0" applyFill="1" applyBorder="1" applyAlignment="1" applyProtection="1">
      <alignment horizontal="center" vertical="center" wrapText="1"/>
      <protection locked="0"/>
    </xf>
    <xf numFmtId="17" fontId="24" fillId="2" borderId="1" xfId="0" applyNumberFormat="1" applyFont="1" applyFill="1" applyBorder="1" applyAlignment="1">
      <alignment horizontal="center" vertical="center" wrapText="1"/>
    </xf>
    <xf numFmtId="165" fontId="25" fillId="15" borderId="20" xfId="5" applyNumberFormat="1" applyFont="1" applyFill="1" applyBorder="1" applyAlignment="1">
      <alignment horizontal="center" vertical="center" wrapText="1"/>
    </xf>
    <xf numFmtId="165" fontId="25" fillId="15" borderId="21" xfId="5" applyNumberFormat="1" applyFont="1" applyFill="1" applyBorder="1" applyAlignment="1">
      <alignment horizontal="center" vertical="center" wrapText="1"/>
    </xf>
    <xf numFmtId="165" fontId="25" fillId="15" borderId="1" xfId="5" applyNumberFormat="1" applyFont="1" applyFill="1" applyBorder="1" applyAlignment="1">
      <alignment horizontal="center" vertical="center" wrapText="1"/>
    </xf>
    <xf numFmtId="165" fontId="25" fillId="15" borderId="22" xfId="5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5" fontId="25" fillId="15" borderId="19" xfId="5" applyNumberFormat="1" applyFont="1" applyFill="1" applyBorder="1" applyAlignment="1">
      <alignment horizontal="center" vertical="center" wrapText="1"/>
    </xf>
    <xf numFmtId="0" fontId="25" fillId="15" borderId="0" xfId="5" applyFont="1" applyFill="1" applyAlignment="1">
      <alignment horizontal="center" vertical="center" wrapText="1"/>
    </xf>
    <xf numFmtId="0" fontId="4" fillId="0" borderId="4" xfId="5" applyFont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15" fontId="4" fillId="0" borderId="17" xfId="5" applyNumberFormat="1" applyFont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vertical="center"/>
    </xf>
    <xf numFmtId="0" fontId="4" fillId="0" borderId="0" xfId="5" applyFont="1" applyAlignment="1">
      <alignment horizontal="center" vertical="center"/>
    </xf>
    <xf numFmtId="43" fontId="4" fillId="0" borderId="1" xfId="1" applyFont="1" applyBorder="1" applyAlignment="1">
      <alignment vertical="center"/>
    </xf>
    <xf numFmtId="0" fontId="4" fillId="0" borderId="1" xfId="5" applyFont="1" applyBorder="1" applyAlignment="1">
      <alignment vertical="center"/>
    </xf>
    <xf numFmtId="15" fontId="4" fillId="0" borderId="1" xfId="5" applyNumberFormat="1" applyFont="1" applyBorder="1" applyAlignment="1">
      <alignment vertical="center"/>
    </xf>
    <xf numFmtId="0" fontId="4" fillId="0" borderId="0" xfId="5" applyFont="1" applyAlignment="1">
      <alignment vertical="center"/>
    </xf>
    <xf numFmtId="0" fontId="4" fillId="0" borderId="1" xfId="0" applyFont="1" applyBorder="1" applyAlignment="1">
      <alignment vertical="center"/>
    </xf>
    <xf numFmtId="44" fontId="18" fillId="9" borderId="1" xfId="0" applyNumberFormat="1" applyFont="1" applyFill="1" applyBorder="1" applyAlignment="1">
      <alignment horizontal="center" vertical="center" wrapText="1"/>
    </xf>
    <xf numFmtId="169" fontId="8" fillId="2" borderId="0" xfId="6" applyNumberFormat="1" applyFont="1" applyFill="1"/>
    <xf numFmtId="169" fontId="8" fillId="20" borderId="0" xfId="6" applyNumberFormat="1" applyFont="1" applyFill="1"/>
    <xf numFmtId="169" fontId="8" fillId="20" borderId="18" xfId="6" applyNumberFormat="1" applyFont="1" applyFill="1" applyBorder="1"/>
    <xf numFmtId="169" fontId="8" fillId="18" borderId="0" xfId="6" applyNumberFormat="1" applyFont="1" applyFill="1"/>
    <xf numFmtId="169" fontId="8" fillId="18" borderId="18" xfId="6" applyNumberFormat="1" applyFont="1" applyFill="1" applyBorder="1"/>
    <xf numFmtId="0" fontId="8" fillId="2" borderId="23" xfId="6" applyFont="1" applyFill="1" applyBorder="1" applyAlignment="1">
      <alignment horizontal="center"/>
    </xf>
    <xf numFmtId="0" fontId="9" fillId="2" borderId="0" xfId="6" applyFont="1" applyFill="1" applyAlignment="1">
      <alignment horizontal="center"/>
    </xf>
    <xf numFmtId="0" fontId="10" fillId="2" borderId="0" xfId="6" applyFont="1" applyFill="1" applyAlignment="1">
      <alignment horizontal="center"/>
    </xf>
    <xf numFmtId="0" fontId="8" fillId="2" borderId="0" xfId="6" applyFont="1" applyFill="1" applyAlignment="1">
      <alignment horizontal="center"/>
    </xf>
    <xf numFmtId="0" fontId="8" fillId="2" borderId="9" xfId="6" applyFont="1" applyFill="1" applyBorder="1" applyAlignment="1">
      <alignment horizontal="center"/>
    </xf>
    <xf numFmtId="0" fontId="9" fillId="2" borderId="18" xfId="6" applyFont="1" applyFill="1" applyBorder="1" applyAlignment="1">
      <alignment horizontal="center"/>
    </xf>
    <xf numFmtId="0" fontId="10" fillId="2" borderId="18" xfId="6" applyFont="1" applyFill="1" applyBorder="1" applyAlignment="1">
      <alignment horizontal="center"/>
    </xf>
    <xf numFmtId="0" fontId="8" fillId="2" borderId="16" xfId="6" applyFont="1" applyFill="1" applyBorder="1" applyAlignment="1">
      <alignment horizontal="center"/>
    </xf>
    <xf numFmtId="0" fontId="9" fillId="2" borderId="15" xfId="6" applyFont="1" applyFill="1" applyBorder="1" applyAlignment="1">
      <alignment horizontal="center"/>
    </xf>
    <xf numFmtId="49" fontId="9" fillId="2" borderId="15" xfId="6" applyNumberFormat="1" applyFont="1" applyFill="1" applyBorder="1" applyAlignment="1">
      <alignment horizontal="center"/>
    </xf>
    <xf numFmtId="49" fontId="9" fillId="2" borderId="0" xfId="6" applyNumberFormat="1" applyFont="1" applyFill="1" applyAlignment="1">
      <alignment horizontal="center"/>
    </xf>
    <xf numFmtId="169" fontId="8" fillId="2" borderId="18" xfId="6" applyNumberFormat="1" applyFont="1" applyFill="1" applyBorder="1"/>
    <xf numFmtId="0" fontId="7" fillId="0" borderId="9" xfId="6" applyFont="1" applyBorder="1" applyAlignment="1">
      <alignment horizontal="center"/>
    </xf>
    <xf numFmtId="44" fontId="13" fillId="17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167" fontId="0" fillId="9" borderId="1" xfId="0" applyNumberFormat="1" applyFill="1" applyBorder="1" applyAlignment="1">
      <alignment horizontal="center" vertical="center"/>
    </xf>
    <xf numFmtId="0" fontId="13" fillId="17" borderId="1" xfId="0" applyFont="1" applyFill="1" applyBorder="1" applyAlignment="1" applyProtection="1">
      <alignment horizontal="center" vertical="center"/>
      <protection locked="0"/>
    </xf>
    <xf numFmtId="15" fontId="17" fillId="7" borderId="10" xfId="4" applyNumberFormat="1" applyFont="1" applyFill="1" applyBorder="1" applyAlignment="1" applyProtection="1">
      <alignment horizontal="center" vertical="center" wrapText="1"/>
    </xf>
    <xf numFmtId="44" fontId="18" fillId="9" borderId="2" xfId="2" applyFont="1" applyFill="1" applyBorder="1" applyAlignment="1" applyProtection="1">
      <alignment horizontal="center" vertical="center"/>
      <protection locked="0"/>
    </xf>
    <xf numFmtId="44" fontId="2" fillId="16" borderId="10" xfId="2" applyFont="1" applyFill="1" applyBorder="1" applyAlignment="1">
      <alignment horizontal="center" vertical="center" wrapText="1"/>
    </xf>
    <xf numFmtId="44" fontId="18" fillId="0" borderId="5" xfId="0" applyNumberFormat="1" applyFont="1" applyBorder="1" applyAlignment="1">
      <alignment vertical="center"/>
    </xf>
    <xf numFmtId="44" fontId="18" fillId="9" borderId="14" xfId="0" applyNumberFormat="1" applyFont="1" applyFill="1" applyBorder="1" applyAlignment="1" applyProtection="1">
      <alignment horizontal="center" vertical="center"/>
      <protection locked="0"/>
    </xf>
    <xf numFmtId="44" fontId="18" fillId="9" borderId="5" xfId="0" applyNumberFormat="1" applyFont="1" applyFill="1" applyBorder="1" applyAlignment="1" applyProtection="1">
      <alignment horizontal="center" vertical="center"/>
      <protection locked="0"/>
    </xf>
    <xf numFmtId="43" fontId="32" fillId="0" borderId="0" xfId="1" applyFont="1" applyFill="1" applyBorder="1" applyAlignment="1">
      <alignment vertical="center"/>
    </xf>
    <xf numFmtId="43" fontId="32" fillId="0" borderId="15" xfId="1" applyFont="1" applyFill="1" applyBorder="1" applyAlignment="1">
      <alignment vertical="center"/>
    </xf>
    <xf numFmtId="43" fontId="32" fillId="0" borderId="11" xfId="1" applyFont="1" applyFill="1" applyBorder="1" applyAlignment="1">
      <alignment vertical="center"/>
    </xf>
    <xf numFmtId="43" fontId="32" fillId="0" borderId="31" xfId="1" applyFont="1" applyFill="1" applyBorder="1" applyAlignment="1">
      <alignment vertical="center"/>
    </xf>
    <xf numFmtId="43" fontId="32" fillId="0" borderId="18" xfId="1" applyFont="1" applyFill="1" applyBorder="1" applyAlignment="1">
      <alignment vertical="center"/>
    </xf>
    <xf numFmtId="43" fontId="32" fillId="0" borderId="6" xfId="1" applyFont="1" applyFill="1" applyBorder="1" applyAlignment="1">
      <alignment vertical="center"/>
    </xf>
    <xf numFmtId="172" fontId="32" fillId="0" borderId="6" xfId="1" applyNumberFormat="1" applyFont="1" applyFill="1" applyBorder="1" applyAlignment="1">
      <alignment vertical="center"/>
    </xf>
    <xf numFmtId="44" fontId="18" fillId="0" borderId="0" xfId="0" applyNumberFormat="1" applyFont="1" applyAlignment="1">
      <alignment horizontal="center" vertical="center"/>
    </xf>
    <xf numFmtId="43" fontId="32" fillId="0" borderId="9" xfId="1" applyFont="1" applyFill="1" applyBorder="1" applyAlignment="1">
      <alignment vertical="center"/>
    </xf>
    <xf numFmtId="43" fontId="32" fillId="0" borderId="23" xfId="1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 wrapText="1"/>
    </xf>
    <xf numFmtId="9" fontId="18" fillId="9" borderId="14" xfId="0" applyNumberFormat="1" applyFont="1" applyFill="1" applyBorder="1" applyAlignment="1" applyProtection="1">
      <alignment horizontal="center" vertical="center" wrapText="1"/>
      <protection locked="0"/>
    </xf>
    <xf numFmtId="9" fontId="18" fillId="9" borderId="14" xfId="3" applyFont="1" applyFill="1" applyBorder="1" applyAlignment="1">
      <alignment horizontal="center" vertical="center"/>
    </xf>
    <xf numFmtId="165" fontId="18" fillId="2" borderId="1" xfId="3" applyNumberFormat="1" applyFont="1" applyFill="1" applyBorder="1" applyAlignment="1">
      <alignment horizontal="center" vertical="center" wrapText="1"/>
    </xf>
    <xf numFmtId="9" fontId="18" fillId="2" borderId="1" xfId="3" applyFont="1" applyFill="1" applyBorder="1" applyAlignment="1">
      <alignment horizontal="center" vertical="center"/>
    </xf>
    <xf numFmtId="9" fontId="18" fillId="2" borderId="14" xfId="3" applyFont="1" applyFill="1" applyBorder="1" applyAlignment="1">
      <alignment horizontal="center" vertical="center"/>
    </xf>
    <xf numFmtId="165" fontId="18" fillId="2" borderId="14" xfId="3" applyNumberFormat="1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/>
    </xf>
    <xf numFmtId="0" fontId="14" fillId="14" borderId="10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44" fontId="11" fillId="9" borderId="5" xfId="8" applyNumberFormat="1" applyFill="1" applyBorder="1" applyAlignment="1" applyProtection="1">
      <alignment horizontal="center" vertical="center" wrapText="1"/>
      <protection locked="0"/>
    </xf>
    <xf numFmtId="0" fontId="18" fillId="0" borderId="23" xfId="0" applyFont="1" applyBorder="1" applyAlignment="1">
      <alignment horizontal="center" vertical="center"/>
    </xf>
    <xf numFmtId="43" fontId="18" fillId="2" borderId="1" xfId="1" applyFont="1" applyFill="1" applyBorder="1" applyAlignment="1">
      <alignment horizontal="center" vertical="center" wrapText="1"/>
    </xf>
    <xf numFmtId="43" fontId="18" fillId="9" borderId="1" xfId="1" applyFont="1" applyFill="1" applyBorder="1" applyAlignment="1">
      <alignment horizontal="center" vertical="center" wrapText="1"/>
    </xf>
    <xf numFmtId="43" fontId="18" fillId="9" borderId="14" xfId="1" applyFont="1" applyFill="1" applyBorder="1" applyAlignment="1">
      <alignment horizontal="center" vertical="center" wrapText="1"/>
    </xf>
    <xf numFmtId="43" fontId="18" fillId="9" borderId="5" xfId="1" applyFont="1" applyFill="1" applyBorder="1" applyAlignment="1">
      <alignment horizontal="center" vertical="center" wrapText="1"/>
    </xf>
    <xf numFmtId="43" fontId="18" fillId="9" borderId="5" xfId="1" applyFont="1" applyFill="1" applyBorder="1" applyAlignment="1">
      <alignment horizontal="left" vertical="center" wrapText="1"/>
    </xf>
    <xf numFmtId="17" fontId="24" fillId="9" borderId="1" xfId="0" applyNumberFormat="1" applyFont="1" applyFill="1" applyBorder="1" applyAlignment="1">
      <alignment horizontal="center" vertical="center" wrapText="1"/>
    </xf>
    <xf numFmtId="17" fontId="24" fillId="9" borderId="14" xfId="0" applyNumberFormat="1" applyFont="1" applyFill="1" applyBorder="1" applyAlignment="1">
      <alignment horizontal="center" vertical="center" wrapText="1"/>
    </xf>
    <xf numFmtId="17" fontId="24" fillId="9" borderId="5" xfId="0" applyNumberFormat="1" applyFont="1" applyFill="1" applyBorder="1" applyAlignment="1">
      <alignment horizontal="center" vertical="center" wrapText="1"/>
    </xf>
    <xf numFmtId="17" fontId="24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/>
    <xf numFmtId="170" fontId="18" fillId="9" borderId="1" xfId="7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15" borderId="0" xfId="0" applyFont="1" applyFill="1" applyAlignment="1">
      <alignment horizontal="center" vertical="center"/>
    </xf>
    <xf numFmtId="49" fontId="6" fillId="15" borderId="0" xfId="0" applyNumberFormat="1" applyFont="1" applyFill="1" applyAlignment="1">
      <alignment horizontal="center" vertical="center" wrapText="1"/>
    </xf>
    <xf numFmtId="0" fontId="6" fillId="15" borderId="0" xfId="0" applyFont="1" applyFill="1" applyAlignment="1">
      <alignment horizontal="center" vertical="center"/>
    </xf>
    <xf numFmtId="0" fontId="2" fillId="15" borderId="0" xfId="0" applyFont="1" applyFill="1" applyAlignment="1">
      <alignment vertical="center" wrapText="1"/>
    </xf>
    <xf numFmtId="0" fontId="6" fillId="15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0" fontId="0" fillId="0" borderId="0" xfId="3" applyNumberFormat="1" applyFont="1" applyAlignment="1">
      <alignment horizontal="center"/>
    </xf>
    <xf numFmtId="0" fontId="6" fillId="21" borderId="0" xfId="0" applyFont="1" applyFill="1" applyAlignment="1">
      <alignment horizontal="center"/>
    </xf>
    <xf numFmtId="43" fontId="6" fillId="21" borderId="0" xfId="1" applyFont="1" applyFill="1" applyAlignment="1">
      <alignment horizontal="center"/>
    </xf>
    <xf numFmtId="173" fontId="0" fillId="0" borderId="0" xfId="3" applyNumberFormat="1" applyFont="1" applyAlignment="1">
      <alignment horizontal="center" vertical="center" wrapText="1"/>
    </xf>
    <xf numFmtId="0" fontId="2" fillId="15" borderId="0" xfId="0" applyFont="1" applyFill="1"/>
    <xf numFmtId="0" fontId="2" fillId="15" borderId="0" xfId="0" applyFont="1" applyFill="1" applyAlignment="1">
      <alignment horizontal="center" vertical="center" wrapText="1"/>
    </xf>
    <xf numFmtId="173" fontId="2" fillId="15" borderId="0" xfId="3" applyNumberFormat="1" applyFont="1" applyFill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6" fillId="15" borderId="0" xfId="0" applyFont="1" applyFill="1" applyAlignment="1">
      <alignment horizontal="center" vertical="center" wrapText="1"/>
    </xf>
    <xf numFmtId="17" fontId="13" fillId="2" borderId="1" xfId="0" applyNumberFormat="1" applyFont="1" applyFill="1" applyBorder="1" applyAlignment="1">
      <alignment horizontal="center" vertical="center" wrapText="1"/>
    </xf>
    <xf numFmtId="167" fontId="0" fillId="9" borderId="1" xfId="8" applyNumberFormat="1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horizontal="center" vertical="center"/>
      <protection locked="0"/>
    </xf>
    <xf numFmtId="167" fontId="18" fillId="9" borderId="1" xfId="2" applyNumberFormat="1" applyFont="1" applyFill="1" applyBorder="1" applyAlignment="1" applyProtection="1">
      <alignment horizontal="center" vertical="center" wrapText="1"/>
      <protection locked="0"/>
    </xf>
    <xf numFmtId="15" fontId="0" fillId="9" borderId="1" xfId="0" applyNumberFormat="1" applyFill="1" applyBorder="1" applyAlignment="1" applyProtection="1">
      <alignment horizontal="center" vertical="center" wrapText="1"/>
      <protection locked="0"/>
    </xf>
    <xf numFmtId="15" fontId="13" fillId="17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7" fontId="19" fillId="0" borderId="0" xfId="0" applyNumberFormat="1" applyFont="1" applyAlignment="1">
      <alignment horizontal="center" vertical="center" wrapText="1"/>
    </xf>
    <xf numFmtId="167" fontId="18" fillId="0" borderId="0" xfId="0" applyNumberFormat="1" applyFont="1" applyAlignment="1">
      <alignment horizontal="center" vertical="center" wrapText="1"/>
    </xf>
    <xf numFmtId="43" fontId="12" fillId="0" borderId="0" xfId="1" applyFont="1" applyFill="1" applyBorder="1" applyAlignment="1">
      <alignment horizontal="center" vertical="center" wrapText="1"/>
    </xf>
    <xf numFmtId="2" fontId="18" fillId="0" borderId="0" xfId="0" applyNumberFormat="1" applyFont="1" applyAlignment="1" applyProtection="1">
      <alignment horizontal="center" vertical="center"/>
      <protection locked="0"/>
    </xf>
    <xf numFmtId="44" fontId="18" fillId="0" borderId="0" xfId="2" applyFont="1" applyFill="1" applyBorder="1" applyAlignment="1" applyProtection="1">
      <alignment horizontal="center" vertical="center"/>
      <protection locked="0"/>
    </xf>
    <xf numFmtId="9" fontId="18" fillId="0" borderId="0" xfId="3" applyFont="1" applyFill="1" applyBorder="1" applyAlignment="1">
      <alignment horizontal="center" vertical="center"/>
    </xf>
    <xf numFmtId="165" fontId="18" fillId="0" borderId="0" xfId="3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44" fontId="18" fillId="0" borderId="0" xfId="2" applyFont="1" applyFill="1" applyBorder="1" applyAlignment="1" applyProtection="1">
      <alignment horizontal="center" vertical="center" wrapText="1"/>
      <protection locked="0"/>
    </xf>
    <xf numFmtId="44" fontId="23" fillId="0" borderId="0" xfId="8" applyNumberFormat="1" applyFont="1" applyFill="1" applyBorder="1" applyAlignment="1" applyProtection="1">
      <alignment horizontal="center" vertical="center" wrapText="1"/>
      <protection locked="0"/>
    </xf>
    <xf numFmtId="15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18" fillId="0" borderId="0" xfId="2" applyFont="1" applyFill="1" applyBorder="1" applyAlignment="1">
      <alignment vertical="center"/>
    </xf>
    <xf numFmtId="0" fontId="18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167" fontId="18" fillId="9" borderId="1" xfId="2" applyNumberFormat="1" applyFont="1" applyFill="1" applyBorder="1" applyAlignment="1" applyProtection="1">
      <alignment horizontal="center" vertical="center"/>
      <protection locked="0"/>
    </xf>
    <xf numFmtId="167" fontId="23" fillId="9" borderId="1" xfId="8" applyNumberFormat="1" applyFont="1" applyFill="1" applyBorder="1" applyAlignment="1" applyProtection="1">
      <alignment horizontal="center" vertical="center" wrapText="1"/>
      <protection locked="0"/>
    </xf>
    <xf numFmtId="0" fontId="0" fillId="9" borderId="14" xfId="0" applyFill="1" applyBorder="1" applyAlignment="1" applyProtection="1">
      <alignment horizontal="center" vertical="center" wrapText="1"/>
      <protection locked="0"/>
    </xf>
    <xf numFmtId="44" fontId="0" fillId="9" borderId="14" xfId="2" applyFont="1" applyFill="1" applyBorder="1" applyAlignment="1" applyProtection="1">
      <alignment horizontal="center" vertical="center"/>
      <protection locked="0"/>
    </xf>
    <xf numFmtId="0" fontId="0" fillId="9" borderId="14" xfId="0" applyFill="1" applyBorder="1" applyAlignment="1">
      <alignment horizontal="center" vertical="center" wrapText="1"/>
    </xf>
    <xf numFmtId="15" fontId="18" fillId="9" borderId="14" xfId="4" applyNumberFormat="1" applyFont="1" applyFill="1" applyBorder="1" applyAlignment="1">
      <alignment horizontal="center" vertical="center" wrapText="1"/>
    </xf>
    <xf numFmtId="44" fontId="18" fillId="9" borderId="32" xfId="2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0" fillId="9" borderId="14" xfId="0" applyFill="1" applyBorder="1" applyAlignment="1">
      <alignment vertical="center"/>
    </xf>
    <xf numFmtId="0" fontId="0" fillId="9" borderId="14" xfId="0" applyFill="1" applyBorder="1" applyAlignment="1">
      <alignment horizontal="center" vertical="center"/>
    </xf>
    <xf numFmtId="15" fontId="0" fillId="9" borderId="14" xfId="0" applyNumberFormat="1" applyFill="1" applyBorder="1" applyAlignment="1">
      <alignment horizontal="center" vertical="center"/>
    </xf>
    <xf numFmtId="15" fontId="13" fillId="17" borderId="14" xfId="0" applyNumberFormat="1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15" fontId="4" fillId="0" borderId="1" xfId="5" applyNumberFormat="1" applyFont="1" applyBorder="1" applyAlignment="1">
      <alignment horizontal="center" vertical="center"/>
    </xf>
    <xf numFmtId="15" fontId="0" fillId="2" borderId="1" xfId="0" applyNumberFormat="1" applyFill="1" applyBorder="1" applyAlignment="1" applyProtection="1">
      <alignment horizontal="center" vertical="center" wrapText="1"/>
      <protection locked="0"/>
    </xf>
    <xf numFmtId="167" fontId="0" fillId="2" borderId="1" xfId="8" applyNumberFormat="1" applyFont="1" applyFill="1" applyBorder="1" applyAlignment="1" applyProtection="1">
      <alignment horizontal="center" vertical="center" wrapText="1"/>
      <protection locked="0"/>
    </xf>
    <xf numFmtId="44" fontId="0" fillId="2" borderId="1" xfId="2" applyFont="1" applyFill="1" applyBorder="1" applyAlignment="1" applyProtection="1">
      <alignment horizontal="center" vertical="center" wrapText="1"/>
      <protection locked="0"/>
    </xf>
    <xf numFmtId="0" fontId="0" fillId="9" borderId="5" xfId="0" applyFill="1" applyBorder="1" applyAlignment="1">
      <alignment horizontal="center" vertical="center" wrapText="1"/>
    </xf>
    <xf numFmtId="0" fontId="13" fillId="22" borderId="1" xfId="0" applyFont="1" applyFill="1" applyBorder="1" applyAlignment="1">
      <alignment horizontal="center" vertical="center" wrapText="1"/>
    </xf>
    <xf numFmtId="44" fontId="0" fillId="9" borderId="14" xfId="2" applyFont="1" applyFill="1" applyBorder="1" applyAlignment="1" applyProtection="1">
      <alignment horizontal="center" vertical="center" wrapText="1"/>
      <protection locked="0"/>
    </xf>
    <xf numFmtId="44" fontId="0" fillId="9" borderId="1" xfId="2" applyFont="1" applyFill="1" applyBorder="1" applyAlignment="1" applyProtection="1">
      <alignment horizontal="center" vertical="center" wrapText="1"/>
      <protection locked="0"/>
    </xf>
    <xf numFmtId="0" fontId="0" fillId="9" borderId="5" xfId="0" applyFill="1" applyBorder="1" applyAlignment="1">
      <alignment horizontal="center" vertical="center"/>
    </xf>
    <xf numFmtId="43" fontId="31" fillId="0" borderId="0" xfId="1" applyFont="1" applyFill="1" applyBorder="1" applyAlignment="1">
      <alignment vertical="center"/>
    </xf>
    <xf numFmtId="0" fontId="13" fillId="17" borderId="1" xfId="0" applyFont="1" applyFill="1" applyBorder="1" applyAlignment="1">
      <alignment horizontal="center" vertical="center" wrapText="1"/>
    </xf>
    <xf numFmtId="167" fontId="14" fillId="12" borderId="7" xfId="0" applyNumberFormat="1" applyFont="1" applyFill="1" applyBorder="1" applyAlignment="1">
      <alignment horizontal="center" vertical="center" wrapText="1"/>
    </xf>
    <xf numFmtId="15" fontId="18" fillId="9" borderId="1" xfId="4" applyNumberFormat="1" applyFont="1" applyFill="1" applyBorder="1" applyAlignment="1">
      <alignment horizontal="center" vertical="center" wrapText="1"/>
    </xf>
    <xf numFmtId="14" fontId="18" fillId="9" borderId="1" xfId="0" applyNumberFormat="1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 wrapText="1"/>
    </xf>
    <xf numFmtId="0" fontId="18" fillId="9" borderId="13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 applyProtection="1">
      <alignment horizontal="center" vertical="center"/>
      <protection locked="0"/>
    </xf>
    <xf numFmtId="0" fontId="24" fillId="9" borderId="1" xfId="0" applyFont="1" applyFill="1" applyBorder="1" applyAlignment="1" applyProtection="1">
      <alignment horizontal="center" vertical="center"/>
      <protection locked="0"/>
    </xf>
    <xf numFmtId="15" fontId="24" fillId="9" borderId="1" xfId="0" applyNumberFormat="1" applyFont="1" applyFill="1" applyBorder="1" applyAlignment="1" applyProtection="1">
      <alignment horizontal="center" vertical="center"/>
      <protection locked="0"/>
    </xf>
    <xf numFmtId="169" fontId="24" fillId="9" borderId="1" xfId="1" applyNumberFormat="1" applyFont="1" applyFill="1" applyBorder="1" applyAlignment="1" applyProtection="1">
      <alignment horizontal="center" vertical="center"/>
      <protection locked="0"/>
    </xf>
    <xf numFmtId="0" fontId="36" fillId="17" borderId="4" xfId="0" applyFont="1" applyFill="1" applyBorder="1" applyAlignment="1">
      <alignment horizontal="center" vertical="center"/>
    </xf>
    <xf numFmtId="15" fontId="13" fillId="17" borderId="4" xfId="0" applyNumberFormat="1" applyFon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15" fontId="28" fillId="2" borderId="25" xfId="0" applyNumberFormat="1" applyFont="1" applyFill="1" applyBorder="1" applyAlignment="1">
      <alignment horizontal="center" vertical="center" wrapText="1"/>
    </xf>
    <xf numFmtId="15" fontId="28" fillId="2" borderId="29" xfId="0" applyNumberFormat="1" applyFont="1" applyFill="1" applyBorder="1" applyAlignment="1">
      <alignment horizontal="center" vertical="center" wrapText="1"/>
    </xf>
    <xf numFmtId="43" fontId="28" fillId="0" borderId="0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29" fillId="0" borderId="8" xfId="5" applyFont="1" applyBorder="1" applyAlignment="1">
      <alignment horizontal="center" vertical="center" wrapText="1"/>
    </xf>
    <xf numFmtId="0" fontId="29" fillId="0" borderId="24" xfId="5" applyFont="1" applyBorder="1" applyAlignment="1">
      <alignment horizontal="center" vertical="center" wrapText="1"/>
    </xf>
    <xf numFmtId="0" fontId="30" fillId="0" borderId="8" xfId="5" applyFont="1" applyBorder="1" applyAlignment="1">
      <alignment horizontal="center" vertical="center" wrapText="1"/>
    </xf>
    <xf numFmtId="0" fontId="30" fillId="0" borderId="4" xfId="5" applyFont="1" applyBorder="1" applyAlignment="1">
      <alignment horizontal="center" vertical="center" wrapText="1"/>
    </xf>
    <xf numFmtId="0" fontId="29" fillId="0" borderId="4" xfId="5" applyFont="1" applyBorder="1" applyAlignment="1">
      <alignment horizontal="center" vertical="center" wrapText="1"/>
    </xf>
    <xf numFmtId="0" fontId="30" fillId="0" borderId="24" xfId="5" applyFont="1" applyBorder="1" applyAlignment="1">
      <alignment horizontal="center" vertical="center" wrapText="1"/>
    </xf>
    <xf numFmtId="0" fontId="29" fillId="0" borderId="18" xfId="5" applyFont="1" applyBorder="1" applyAlignment="1">
      <alignment horizontal="center" vertical="center" wrapText="1"/>
    </xf>
    <xf numFmtId="0" fontId="31" fillId="0" borderId="0" xfId="5" applyFont="1" applyAlignment="1">
      <alignment vertical="center" wrapText="1"/>
    </xf>
    <xf numFmtId="0" fontId="32" fillId="0" borderId="16" xfId="5" applyFont="1" applyBorder="1" applyAlignment="1">
      <alignment horizontal="center" vertical="center" wrapText="1"/>
    </xf>
    <xf numFmtId="0" fontId="32" fillId="0" borderId="15" xfId="5" applyFont="1" applyBorder="1" applyAlignment="1">
      <alignment horizontal="center" vertical="center" wrapText="1"/>
    </xf>
    <xf numFmtId="43" fontId="32" fillId="0" borderId="16" xfId="1" applyFont="1" applyFill="1" applyBorder="1" applyAlignment="1">
      <alignment vertical="center"/>
    </xf>
    <xf numFmtId="0" fontId="31" fillId="0" borderId="0" xfId="5" applyFont="1" applyAlignment="1">
      <alignment vertical="center"/>
    </xf>
    <xf numFmtId="0" fontId="32" fillId="0" borderId="23" xfId="5" applyFont="1" applyBorder="1" applyAlignment="1">
      <alignment horizontal="center" vertical="center" wrapText="1"/>
    </xf>
    <xf numFmtId="0" fontId="32" fillId="0" borderId="0" xfId="5" applyFont="1" applyAlignment="1">
      <alignment horizontal="center" vertical="center" wrapText="1"/>
    </xf>
    <xf numFmtId="0" fontId="32" fillId="0" borderId="9" xfId="5" applyFont="1" applyBorder="1" applyAlignment="1">
      <alignment horizontal="center" vertical="center" wrapText="1"/>
    </xf>
    <xf numFmtId="0" fontId="32" fillId="0" borderId="18" xfId="5" applyFont="1" applyBorder="1" applyAlignment="1">
      <alignment horizontal="center" vertical="center" wrapText="1"/>
    </xf>
    <xf numFmtId="0" fontId="29" fillId="0" borderId="9" xfId="5" applyFont="1" applyBorder="1" applyAlignment="1">
      <alignment vertical="center"/>
    </xf>
    <xf numFmtId="0" fontId="29" fillId="0" borderId="18" xfId="5" applyFont="1" applyBorder="1" applyAlignment="1">
      <alignment horizontal="center" vertical="center"/>
    </xf>
    <xf numFmtId="43" fontId="29" fillId="0" borderId="6" xfId="1" applyFont="1" applyFill="1" applyBorder="1" applyAlignment="1">
      <alignment vertical="center"/>
    </xf>
    <xf numFmtId="43" fontId="29" fillId="0" borderId="7" xfId="1" applyFont="1" applyFill="1" applyBorder="1" applyAlignment="1">
      <alignment vertical="center"/>
    </xf>
    <xf numFmtId="43" fontId="29" fillId="0" borderId="10" xfId="1" applyFont="1" applyFill="1" applyBorder="1" applyAlignment="1">
      <alignment vertical="center"/>
    </xf>
    <xf numFmtId="43" fontId="29" fillId="0" borderId="0" xfId="1" applyFont="1" applyFill="1" applyBorder="1" applyAlignment="1">
      <alignment vertical="center"/>
    </xf>
    <xf numFmtId="43" fontId="29" fillId="0" borderId="31" xfId="1" applyFont="1" applyFill="1" applyBorder="1" applyAlignment="1">
      <alignment vertical="center"/>
    </xf>
    <xf numFmtId="43" fontId="29" fillId="0" borderId="1" xfId="1" applyFont="1" applyFill="1" applyBorder="1" applyAlignment="1">
      <alignment vertical="center"/>
    </xf>
    <xf numFmtId="43" fontId="29" fillId="0" borderId="15" xfId="1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15" fontId="31" fillId="0" borderId="0" xfId="5" applyNumberFormat="1" applyFont="1" applyAlignment="1">
      <alignment vertical="center"/>
    </xf>
    <xf numFmtId="43" fontId="31" fillId="0" borderId="0" xfId="5" applyNumberFormat="1" applyFont="1" applyAlignment="1">
      <alignment vertical="center"/>
    </xf>
    <xf numFmtId="15" fontId="31" fillId="0" borderId="0" xfId="0" applyNumberFormat="1" applyFont="1" applyAlignment="1">
      <alignment vertical="center"/>
    </xf>
    <xf numFmtId="0" fontId="3" fillId="0" borderId="0" xfId="5" applyAlignment="1">
      <alignment vertical="center"/>
    </xf>
    <xf numFmtId="15" fontId="33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43" fontId="33" fillId="0" borderId="0" xfId="1" applyFont="1" applyFill="1" applyBorder="1" applyAlignment="1">
      <alignment vertical="center"/>
    </xf>
    <xf numFmtId="15" fontId="31" fillId="0" borderId="0" xfId="0" applyNumberFormat="1" applyFont="1" applyAlignment="1">
      <alignment horizontal="right" vertical="center"/>
    </xf>
    <xf numFmtId="15" fontId="35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43" fontId="35" fillId="0" borderId="0" xfId="0" applyNumberFormat="1" applyFont="1" applyAlignment="1">
      <alignment vertical="center"/>
    </xf>
    <xf numFmtId="174" fontId="31" fillId="0" borderId="0" xfId="5" applyNumberFormat="1" applyFont="1" applyAlignment="1">
      <alignment vertical="center"/>
    </xf>
    <xf numFmtId="43" fontId="31" fillId="0" borderId="0" xfId="1" applyFont="1" applyFill="1" applyAlignment="1">
      <alignment vertical="center"/>
    </xf>
    <xf numFmtId="43" fontId="3" fillId="0" borderId="0" xfId="1" applyFont="1" applyFill="1" applyBorder="1" applyAlignment="1">
      <alignment vertical="center"/>
    </xf>
    <xf numFmtId="10" fontId="31" fillId="0" borderId="0" xfId="3" applyNumberFormat="1" applyFont="1" applyFill="1" applyAlignment="1">
      <alignment vertical="center"/>
    </xf>
    <xf numFmtId="2" fontId="31" fillId="0" borderId="0" xfId="5" applyNumberFormat="1" applyFont="1" applyAlignment="1">
      <alignment vertical="center"/>
    </xf>
    <xf numFmtId="10" fontId="31" fillId="0" borderId="0" xfId="5" applyNumberFormat="1" applyFont="1" applyAlignment="1">
      <alignment vertical="center"/>
    </xf>
    <xf numFmtId="15" fontId="3" fillId="0" borderId="0" xfId="5" applyNumberFormat="1" applyAlignment="1">
      <alignment vertical="center"/>
    </xf>
    <xf numFmtId="43" fontId="31" fillId="0" borderId="0" xfId="1" applyFont="1" applyAlignment="1">
      <alignment vertical="center"/>
    </xf>
    <xf numFmtId="0" fontId="13" fillId="17" borderId="14" xfId="0" applyFont="1" applyFill="1" applyBorder="1" applyAlignment="1" applyProtection="1">
      <alignment horizontal="center" vertical="center"/>
      <protection locked="0"/>
    </xf>
    <xf numFmtId="9" fontId="18" fillId="2" borderId="5" xfId="3" applyFont="1" applyFill="1" applyBorder="1" applyAlignment="1">
      <alignment horizontal="center" vertical="center"/>
    </xf>
    <xf numFmtId="17" fontId="13" fillId="9" borderId="1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vertical="center"/>
    </xf>
    <xf numFmtId="0" fontId="18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>
      <alignment vertical="center"/>
    </xf>
    <xf numFmtId="44" fontId="27" fillId="0" borderId="0" xfId="0" applyNumberFormat="1" applyFont="1" applyAlignment="1">
      <alignment vertical="center"/>
    </xf>
    <xf numFmtId="43" fontId="31" fillId="0" borderId="0" xfId="0" applyNumberFormat="1" applyFont="1" applyAlignment="1">
      <alignment vertical="center"/>
    </xf>
    <xf numFmtId="15" fontId="21" fillId="9" borderId="14" xfId="0" applyNumberFormat="1" applyFont="1" applyFill="1" applyBorder="1" applyAlignment="1">
      <alignment horizontal="center" vertical="center"/>
    </xf>
    <xf numFmtId="165" fontId="18" fillId="2" borderId="5" xfId="3" applyNumberFormat="1" applyFont="1" applyFill="1" applyBorder="1" applyAlignment="1">
      <alignment horizontal="center" vertical="center" wrapText="1"/>
    </xf>
    <xf numFmtId="17" fontId="24" fillId="2" borderId="14" xfId="0" applyNumberFormat="1" applyFont="1" applyFill="1" applyBorder="1" applyAlignment="1">
      <alignment horizontal="center" vertical="center" wrapText="1"/>
    </xf>
    <xf numFmtId="15" fontId="18" fillId="2" borderId="14" xfId="0" applyNumberFormat="1" applyFont="1" applyFill="1" applyBorder="1" applyAlignment="1">
      <alignment horizontal="center" vertical="center" wrapText="1"/>
    </xf>
    <xf numFmtId="15" fontId="18" fillId="2" borderId="5" xfId="0" applyNumberFormat="1" applyFont="1" applyFill="1" applyBorder="1" applyAlignment="1" applyProtection="1">
      <alignment horizontal="left" vertical="center" wrapText="1"/>
      <protection locked="0"/>
    </xf>
    <xf numFmtId="15" fontId="18" fillId="0" borderId="0" xfId="0" applyNumberFormat="1" applyFont="1" applyAlignment="1">
      <alignment vertical="center"/>
    </xf>
    <xf numFmtId="15" fontId="19" fillId="0" borderId="0" xfId="0" applyNumberFormat="1" applyFont="1" applyAlignment="1">
      <alignment horizontal="center" vertical="center" wrapText="1"/>
    </xf>
    <xf numFmtId="44" fontId="18" fillId="9" borderId="1" xfId="0" applyNumberFormat="1" applyFont="1" applyFill="1" applyBorder="1" applyAlignment="1">
      <alignment vertical="center" wrapText="1"/>
    </xf>
    <xf numFmtId="0" fontId="19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17" fontId="24" fillId="9" borderId="1" xfId="0" applyNumberFormat="1" applyFont="1" applyFill="1" applyBorder="1" applyAlignment="1">
      <alignment horizontal="center" vertical="center"/>
    </xf>
    <xf numFmtId="165" fontId="18" fillId="9" borderId="1" xfId="3" applyNumberFormat="1" applyFont="1" applyFill="1" applyBorder="1" applyAlignment="1">
      <alignment horizontal="center" vertical="center"/>
    </xf>
    <xf numFmtId="167" fontId="0" fillId="9" borderId="1" xfId="8" applyNumberFormat="1" applyFont="1" applyFill="1" applyBorder="1" applyAlignment="1" applyProtection="1">
      <alignment horizontal="center" vertical="center"/>
      <protection locked="0"/>
    </xf>
    <xf numFmtId="15" fontId="0" fillId="9" borderId="1" xfId="0" applyNumberFormat="1" applyFill="1" applyBorder="1" applyAlignment="1" applyProtection="1">
      <alignment horizontal="center" vertical="center"/>
      <protection locked="0"/>
    </xf>
    <xf numFmtId="171" fontId="18" fillId="9" borderId="1" xfId="0" applyNumberFormat="1" applyFont="1" applyFill="1" applyBorder="1" applyAlignment="1" applyProtection="1">
      <alignment horizontal="center" vertical="center"/>
      <protection locked="0"/>
    </xf>
    <xf numFmtId="44" fontId="0" fillId="9" borderId="5" xfId="2" applyFont="1" applyFill="1" applyBorder="1" applyAlignment="1">
      <alignment horizontal="center" vertical="center"/>
    </xf>
    <xf numFmtId="15" fontId="0" fillId="9" borderId="5" xfId="0" applyNumberForma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 wrapText="1"/>
    </xf>
    <xf numFmtId="0" fontId="37" fillId="9" borderId="5" xfId="0" applyFont="1" applyFill="1" applyBorder="1" applyAlignment="1">
      <alignment horizontal="center" vertical="center" wrapText="1"/>
    </xf>
    <xf numFmtId="9" fontId="0" fillId="9" borderId="1" xfId="3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7" fillId="0" borderId="18" xfId="6" applyFont="1" applyBorder="1" applyAlignment="1">
      <alignment horizontal="center"/>
    </xf>
    <xf numFmtId="0" fontId="37" fillId="2" borderId="14" xfId="0" applyFont="1" applyFill="1" applyBorder="1" applyAlignment="1">
      <alignment horizontal="center" vertical="center" wrapText="1"/>
    </xf>
  </cellXfs>
  <cellStyles count="9">
    <cellStyle name="Hipervínculo" xfId="8" builtinId="8"/>
    <cellStyle name="Millares" xfId="1" builtinId="3"/>
    <cellStyle name="Millares 5" xfId="4" xr:uid="{9370063F-3851-1D48-A54F-76F8F2CF6493}"/>
    <cellStyle name="Moneda" xfId="2" builtinId="4"/>
    <cellStyle name="Moneda 2" xfId="7" xr:uid="{17E434EE-2CE7-0544-B0D4-3212353C0D5A}"/>
    <cellStyle name="Normal" xfId="0" builtinId="0"/>
    <cellStyle name="Normal 2" xfId="5" xr:uid="{F3A177DA-F3B6-FD4F-92CF-617DE36A7293}"/>
    <cellStyle name="Normal 2 2" xfId="6" xr:uid="{2A8DE078-6059-E847-A656-017405CD6FED}"/>
    <cellStyle name="Porcentaje" xfId="3" builtinId="5"/>
  </cellStyles>
  <dxfs count="19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</border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ptos Narrow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scheme val="minor"/>
      </font>
      <numFmt numFmtId="20" formatCode="dd\-mmm\-yy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7" formatCode="[$-F800]dddd\,\ mmmm\ dd\,\ 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0" formatCode="dd\-mmm\-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7" formatCode="[$-F800]dddd\,\ mmmm\ dd\,\ 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0" formatCode="dd\-mmm\-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0" formatCode="dd\-mmm\-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name val="Aptos Narrow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0" formatCode="dd\-mmm\-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0" formatCode="dd\-mmm\-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20" formatCode="dd\-mmm\-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_([$B/.-180A]\ * #,##0.00_);_([$B/.-180A]\ * \(#,##0.00\);_([$B/.-180A]\ * &quot;-&quot;??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_([$B/.-180A]\ * #,##0.00_);_([$B/.-180A]\ * \(#,##0.00\);_([$B/.-180A]\ 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22" formatCode="mmm\-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</border>
    </dxf>
    <dxf>
      <font>
        <strike val="0"/>
        <outline val="0"/>
        <shadow val="0"/>
        <vertAlign val="baseline"/>
        <sz val="12"/>
        <name val="Aptos Narrow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&quot;B/.&quot;#,##0.00"/>
      <fill>
        <patternFill patternType="solid">
          <fgColor indexed="64"/>
          <bgColor rgb="FFFFFF00"/>
        </patternFill>
      </fill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52B27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52B27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52B27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auto="1"/>
        </bottom>
        <vertical/>
        <horizontal/>
      </border>
    </dxf>
    <dxf>
      <border outline="0"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2" defaultTableStyle="TableStyleMedium2" defaultPivotStyle="PivotStyleLight16">
    <tableStyle name="Estilo de tabla 1" pivot="0" count="3" xr9:uid="{290C70BF-7750-7941-80EB-E638F5C1DB87}">
      <tableStyleElement type="headerRow" dxfId="193"/>
      <tableStyleElement type="totalRow" dxfId="192"/>
      <tableStyleElement type="secondRowStripe" dxfId="191"/>
    </tableStyle>
    <tableStyle name="Estilo de tabla 2" pivot="0" count="0" xr9:uid="{9A213935-85B5-564B-9FB7-1C91B0AE2466}"/>
  </tableStyles>
  <colors>
    <mruColors>
      <color rgb="FF1A3834"/>
      <color rgb="FFB28F51"/>
      <color rgb="FFB3B3B0"/>
      <color rgb="FF196B24"/>
      <color rgb="FFFD591B"/>
      <color rgb="FF18375E"/>
      <color rgb="FF193735"/>
      <color rgb="FF183635"/>
      <color rgb="FF5E2B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pieChart>
        <c:varyColors val="1"/>
        <c:ser>
          <c:idx val="0"/>
          <c:order val="0"/>
          <c:tx>
            <c:v>NACIONALIDADES</c:v>
          </c:tx>
          <c:dPt>
            <c:idx val="0"/>
            <c:bubble3D val="0"/>
            <c:spPr>
              <a:solidFill>
                <a:srgbClr val="B28F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6F5-FE4F-BADE-064D083EAA29}"/>
              </c:ext>
            </c:extLst>
          </c:dPt>
          <c:dPt>
            <c:idx val="1"/>
            <c:bubble3D val="0"/>
            <c:spPr>
              <a:solidFill>
                <a:srgbClr val="B3B3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F5-FE4F-BADE-064D083EAA29}"/>
              </c:ext>
            </c:extLst>
          </c:dPt>
          <c:dPt>
            <c:idx val="2"/>
            <c:bubble3D val="0"/>
            <c:spPr>
              <a:solidFill>
                <a:srgbClr val="1A383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F5-FE4F-BADE-064D083EAA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A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'GRAFICAS INFORMES'!$B$11:$B$13</c:f>
              <c:strCache>
                <c:ptCount val="3"/>
                <c:pt idx="0">
                  <c:v>NACIONAL</c:v>
                </c:pt>
                <c:pt idx="1">
                  <c:v>EXTRANJERO RESIDENTE</c:v>
                </c:pt>
                <c:pt idx="2">
                  <c:v>EXTRANJERO NO RESIDENTE</c:v>
                </c:pt>
              </c:strCache>
            </c:strRef>
          </c:cat>
          <c:val>
            <c:numRef>
              <c:f>'GRAFICAS INFORMES'!$C$11:$C$13</c:f>
              <c:numCache>
                <c:formatCode>General</c:formatCode>
                <c:ptCount val="3"/>
                <c:pt idx="0">
                  <c:v>21</c:v>
                </c:pt>
                <c:pt idx="1">
                  <c:v>6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5-FE4F-BADE-064D083EAA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A383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93-E245-B710-E89EF311F977}"/>
              </c:ext>
            </c:extLst>
          </c:dPt>
          <c:dPt>
            <c:idx val="1"/>
            <c:bubble3D val="0"/>
            <c:spPr>
              <a:solidFill>
                <a:srgbClr val="B28F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93-E245-B710-E89EF311F9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A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'GRAFICAS INFORMES'!$E$10:$F$10</c:f>
              <c:strCache>
                <c:ptCount val="2"/>
                <c:pt idx="0">
                  <c:v>CONTADO</c:v>
                </c:pt>
                <c:pt idx="1">
                  <c:v>FINANCIAMIENTO</c:v>
                </c:pt>
              </c:strCache>
            </c:strRef>
          </c:cat>
          <c:val>
            <c:numRef>
              <c:f>'GRAFICAS INFORMES'!$E$14:$F$14</c:f>
              <c:numCache>
                <c:formatCode>General</c:formatCode>
                <c:ptCount val="2"/>
                <c:pt idx="0">
                  <c:v>33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93-E245-B710-E89EF311F97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 ÚNICO EL PALMAR TORRE C (OFICIAL Y COMPLETO).xlsx]GRAFICAS INFORMES!TablaDinámica4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Perfil de 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28F5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1A383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B3B3B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'GRAFICAS INFORMES'!$B$27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B28F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0CF-364F-9AEC-A126FA06DF80}"/>
              </c:ext>
            </c:extLst>
          </c:dPt>
          <c:dPt>
            <c:idx val="1"/>
            <c:bubble3D val="0"/>
            <c:spPr>
              <a:solidFill>
                <a:srgbClr val="1A383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CF-364F-9AEC-A126FA06DF80}"/>
              </c:ext>
            </c:extLst>
          </c:dPt>
          <c:dPt>
            <c:idx val="2"/>
            <c:bubble3D val="0"/>
            <c:spPr>
              <a:solidFill>
                <a:srgbClr val="B3B3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0CF-364F-9AEC-A126FA06DF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FF-914B-89F3-D49E7205B3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A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'GRAFICAS INFORMES'!$A$28:$A$32</c:f>
              <c:strCache>
                <c:ptCount val="4"/>
                <c:pt idx="0">
                  <c:v>ASALARIADO</c:v>
                </c:pt>
                <c:pt idx="1">
                  <c:v>INDEPENDIENTE</c:v>
                </c:pt>
                <c:pt idx="2">
                  <c:v>INDEPENDIENTE / JUBILADO</c:v>
                </c:pt>
                <c:pt idx="3">
                  <c:v>(en blanco)</c:v>
                </c:pt>
              </c:strCache>
            </c:strRef>
          </c:cat>
          <c:val>
            <c:numRef>
              <c:f>'GRAFICAS INFORMES'!$B$28:$B$32</c:f>
              <c:numCache>
                <c:formatCode>General</c:formatCode>
                <c:ptCount val="4"/>
                <c:pt idx="0">
                  <c:v>17</c:v>
                </c:pt>
                <c:pt idx="1">
                  <c:v>28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CF-364F-9AEC-A126FA06DF8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 ÚNICO EL PALMAR TORRE C (OFICIAL Y COMPLETO).xlsx]GRAFICAS INFORMES!TablaDinámica1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NACIONALIDAD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ivotFmts>
      <c:pivotFmt>
        <c:idx val="0"/>
        <c:spPr>
          <a:solidFill>
            <a:srgbClr val="1A383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P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383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P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A383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P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A383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P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INFORMES'!$B$37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A383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A38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E2-D14E-88C2-1B69C7243041}"/>
              </c:ext>
            </c:extLst>
          </c:dPt>
          <c:dPt>
            <c:idx val="4"/>
            <c:invertIfNegative val="0"/>
            <c:bubble3D val="0"/>
            <c:spPr>
              <a:solidFill>
                <a:srgbClr val="1A38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E2-D14E-88C2-1B69C7243041}"/>
              </c:ext>
            </c:extLst>
          </c:dPt>
          <c:dPt>
            <c:idx val="6"/>
            <c:invertIfNegative val="0"/>
            <c:bubble3D val="0"/>
            <c:spPr>
              <a:solidFill>
                <a:srgbClr val="1A38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5E2-D14E-88C2-1B69C724304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PA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5E2-D14E-88C2-1B69C724304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PA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5E2-D14E-88C2-1B69C724304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PA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5E2-D14E-88C2-1B69C72430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P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'GRAFICAS INFORMES'!$A$38:$A$46</c:f>
              <c:strCache>
                <c:ptCount val="8"/>
                <c:pt idx="0">
                  <c:v>AUSTRALIANA</c:v>
                </c:pt>
                <c:pt idx="1">
                  <c:v>CANADIENSE</c:v>
                </c:pt>
                <c:pt idx="2">
                  <c:v>COSTARRICENSE</c:v>
                </c:pt>
                <c:pt idx="3">
                  <c:v>ESTADOUNIDENSE</c:v>
                </c:pt>
                <c:pt idx="4">
                  <c:v>GUATEMALTECO</c:v>
                </c:pt>
                <c:pt idx="5">
                  <c:v>PANAMEÑA</c:v>
                </c:pt>
                <c:pt idx="6">
                  <c:v>SUIZA</c:v>
                </c:pt>
                <c:pt idx="7">
                  <c:v>(en blanco)</c:v>
                </c:pt>
              </c:strCache>
            </c:strRef>
          </c:cat>
          <c:val>
            <c:numRef>
              <c:f>'GRAFICAS INFORMES'!$B$38:$B$46</c:f>
              <c:numCache>
                <c:formatCode>General</c:formatCode>
                <c:ptCount val="8"/>
                <c:pt idx="0">
                  <c:v>1</c:v>
                </c:pt>
                <c:pt idx="1">
                  <c:v>7</c:v>
                </c:pt>
                <c:pt idx="2">
                  <c:v>3</c:v>
                </c:pt>
                <c:pt idx="3">
                  <c:v>16</c:v>
                </c:pt>
                <c:pt idx="4">
                  <c:v>1</c:v>
                </c:pt>
                <c:pt idx="5">
                  <c:v>19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2-D14E-88C2-1B69C72430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163358879"/>
        <c:axId val="1163320111"/>
      </c:barChart>
      <c:catAx>
        <c:axId val="116335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163320111"/>
        <c:crosses val="autoZero"/>
        <c:auto val="1"/>
        <c:lblAlgn val="ctr"/>
        <c:lblOffset val="100"/>
        <c:noMultiLvlLbl val="0"/>
      </c:catAx>
      <c:valAx>
        <c:axId val="116332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16335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7</xdr:row>
      <xdr:rowOff>6350</xdr:rowOff>
    </xdr:from>
    <xdr:to>
      <xdr:col>9</xdr:col>
      <xdr:colOff>762000</xdr:colOff>
      <xdr:row>17</xdr:row>
      <xdr:rowOff>292100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477CC1-7421-2211-E246-648C2F144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14</xdr:col>
      <xdr:colOff>69850</xdr:colOff>
      <xdr:row>17</xdr:row>
      <xdr:rowOff>285750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9F594CF-C593-F644-9E22-2D06FA01B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431800</xdr:colOff>
      <xdr:row>23</xdr:row>
      <xdr:rowOff>139700</xdr:rowOff>
    </xdr:from>
    <xdr:to>
      <xdr:col>5</xdr:col>
      <xdr:colOff>590550</xdr:colOff>
      <xdr:row>34</xdr:row>
      <xdr:rowOff>88900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FB7D33-7882-1A40-B30E-9181445C1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958850</xdr:colOff>
      <xdr:row>35</xdr:row>
      <xdr:rowOff>69850</xdr:rowOff>
    </xdr:from>
    <xdr:to>
      <xdr:col>6</xdr:col>
      <xdr:colOff>704850</xdr:colOff>
      <xdr:row>48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54CAA76-BC6D-1417-A4F6-7B8ECC7C4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ilmer Ramirez" id="{A8318356-CECC-5847-84C0-CF296ACCE5F3}" userId="27038f1d2cd984bc" providerId="Windows Live"/>
  <person displayName="Patricia Beltran" id="{52AC34DD-24F5-0549-8233-F885B7ECFB10}" userId="b746ce4d7ecba08b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proban" refreshedDate="46063.414904513891" createdVersion="8" refreshedVersion="8" minRefreshableVersion="3" recordCount="55" xr:uid="{4D6603A0-20F0-2C4B-952B-9190EEFE5439}">
  <cacheSource type="worksheet">
    <worksheetSource ref="H1:H56" sheet="BASE DATOS"/>
  </cacheSource>
  <cacheFields count="1">
    <cacheField name="NACIONALIDAD" numFmtId="0">
      <sharedItems containsBlank="1" count="8">
        <s v="CANADIENSE"/>
        <s v="PANAMEÑA"/>
        <s v="AUSTRALIANA"/>
        <s v="ESTADOUNIDENSE"/>
        <s v="COSTARRICENSE"/>
        <s v="SUIZA"/>
        <m/>
        <s v="GUATEMALTEC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proban" refreshedDate="46063.415756249997" createdVersion="8" refreshedVersion="8" minRefreshableVersion="3" recordCount="57" xr:uid="{C1BC7EFB-0480-D947-9FA0-9F32689D20E9}">
  <cacheSource type="worksheet">
    <worksheetSource name="Tabla4[[UNIDAD APTO]:[PERFIL DE INGRESOS]]"/>
  </cacheSource>
  <cacheFields count="12">
    <cacheField name="UNIDAD APTO" numFmtId="0">
      <sharedItems/>
    </cacheField>
    <cacheField name="NIVEL" numFmtId="0">
      <sharedItems containsMixedTypes="1" containsNumber="1" containsInteger="1" minValue="-400" maxValue="-100"/>
    </cacheField>
    <cacheField name="CLIENTE" numFmtId="0">
      <sharedItems containsBlank="1"/>
    </cacheField>
    <cacheField name="RESERVADAS, VENDIDAS" numFmtId="0">
      <sharedItems/>
    </cacheField>
    <cacheField name="ESTATUS" numFmtId="0">
      <sharedItems/>
    </cacheField>
    <cacheField name="FECHA DE RESERVA" numFmtId="17">
      <sharedItems containsNonDate="0" containsDate="1" containsString="0" containsBlank="1" minDate="2023-03-01T00:00:00" maxDate="2026-01-28T00:00:00"/>
    </cacheField>
    <cacheField name="NÚMERO DE IDENTIDAD" numFmtId="0">
      <sharedItems containsBlank="1" containsMixedTypes="1" containsNumber="1" containsInteger="1" minValue="111800167" maxValue="682638818"/>
    </cacheField>
    <cacheField name="NACIONALIDAD" numFmtId="0">
      <sharedItems containsBlank="1"/>
    </cacheField>
    <cacheField name="CLASIFCACIÓN" numFmtId="0">
      <sharedItems containsBlank="1"/>
    </cacheField>
    <cacheField name="BROKER" numFmtId="0">
      <sharedItems containsBlank="1"/>
    </cacheField>
    <cacheField name="FECHA NACIMIENTO" numFmtId="15">
      <sharedItems containsNonDate="0" containsDate="1" containsString="0" containsBlank="1" minDate="1939-01-11T00:00:00" maxDate="1993-05-06T00:00:00"/>
    </cacheField>
    <cacheField name="PERFIL DE INGRESOS" numFmtId="0">
      <sharedItems containsBlank="1" count="5">
        <s v="INDEPENDIENTE"/>
        <s v="ASALARIADO"/>
        <s v="INDEPENDIENTE / JUBILADO"/>
        <m/>
        <s v="ASALARIADO / INDEPENDIENT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</r>
  <r>
    <x v="0"/>
  </r>
  <r>
    <x v="1"/>
  </r>
  <r>
    <x v="2"/>
  </r>
  <r>
    <x v="1"/>
  </r>
  <r>
    <x v="3"/>
  </r>
  <r>
    <x v="1"/>
  </r>
  <r>
    <x v="3"/>
  </r>
  <r>
    <x v="1"/>
  </r>
  <r>
    <x v="3"/>
  </r>
  <r>
    <x v="3"/>
  </r>
  <r>
    <x v="1"/>
  </r>
  <r>
    <x v="1"/>
  </r>
  <r>
    <x v="3"/>
  </r>
  <r>
    <x v="3"/>
  </r>
  <r>
    <x v="1"/>
  </r>
  <r>
    <x v="0"/>
  </r>
  <r>
    <x v="3"/>
  </r>
  <r>
    <x v="4"/>
  </r>
  <r>
    <x v="5"/>
  </r>
  <r>
    <x v="1"/>
  </r>
  <r>
    <x v="0"/>
  </r>
  <r>
    <x v="0"/>
  </r>
  <r>
    <x v="3"/>
  </r>
  <r>
    <x v="1"/>
  </r>
  <r>
    <x v="1"/>
  </r>
  <r>
    <x v="1"/>
  </r>
  <r>
    <x v="4"/>
  </r>
  <r>
    <x v="1"/>
  </r>
  <r>
    <x v="1"/>
  </r>
  <r>
    <x v="1"/>
  </r>
  <r>
    <x v="1"/>
  </r>
  <r>
    <x v="3"/>
  </r>
  <r>
    <x v="1"/>
  </r>
  <r>
    <x v="3"/>
  </r>
  <r>
    <x v="3"/>
  </r>
  <r>
    <x v="1"/>
  </r>
  <r>
    <x v="6"/>
  </r>
  <r>
    <x v="0"/>
  </r>
  <r>
    <x v="0"/>
  </r>
  <r>
    <x v="6"/>
  </r>
  <r>
    <x v="3"/>
  </r>
  <r>
    <x v="4"/>
  </r>
  <r>
    <x v="6"/>
  </r>
  <r>
    <x v="1"/>
  </r>
  <r>
    <x v="1"/>
  </r>
  <r>
    <x v="6"/>
  </r>
  <r>
    <x v="3"/>
  </r>
  <r>
    <x v="3"/>
  </r>
  <r>
    <x v="7"/>
  </r>
  <r>
    <x v="6"/>
  </r>
  <r>
    <x v="3"/>
  </r>
  <r>
    <x v="6"/>
  </r>
  <r>
    <x v="6"/>
  </r>
  <r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L-501"/>
    <s v="000"/>
    <s v="KEVIN FORSYTH"/>
    <s v="TRASPASADO"/>
    <s v="INSCRITO Y DESEMBOLSADO"/>
    <d v="2023-03-01T00:00:00"/>
    <s v="HD802468"/>
    <s v="CANADIENSE"/>
    <s v="EXTRANJERO NO RESIDENTE"/>
    <s v="PANAMA PACIFICA REALTY"/>
    <d v="1969-05-28T00:00:00"/>
    <x v="0"/>
  </r>
  <r>
    <s v="L-502"/>
    <s v="000"/>
    <s v="LANCE Y RADANA MORGAN"/>
    <s v="TRASPASADO"/>
    <s v="INSCRITO Y DESEMBOLSADO"/>
    <d v="2024-08-01T00:00:00"/>
    <n v="571322934"/>
    <s v="CANADIENSE"/>
    <s v="EXTRANJERO NO RESIDENTE"/>
    <s v="KOYNE"/>
    <d v="1968-05-09T00:00:00"/>
    <x v="0"/>
  </r>
  <r>
    <s v="L-503"/>
    <s v="000"/>
    <s v="AARON Y MARSHA EDWARDS "/>
    <s v="TRASPASADO"/>
    <s v="INSCRITO Y DESEMBOLSADO"/>
    <d v="2023-10-01T00:00:00"/>
    <s v="8-1137-1326"/>
    <s v="PANAMEÑA"/>
    <s v="NACIONAL"/>
    <s v="PANAMA PACIFICA REALTY"/>
    <d v="1978-10-24T00:00:00"/>
    <x v="1"/>
  </r>
  <r>
    <s v="L-504"/>
    <s v="000"/>
    <s v="GEORGE WALES Y MAUZIE-LISA WALES"/>
    <s v="TRASPASADO"/>
    <s v="INSCRITO Y DESEMBOLSADO"/>
    <d v="2024-10-15T00:00:00"/>
    <s v="RA2827279 / RA2832821"/>
    <s v="AUSTRALIANA"/>
    <s v="EXTRANJERO NO RESIDENTE"/>
    <s v="PANAMA PACIFICA REALTY"/>
    <d v="1958-01-09T00:00:00"/>
    <x v="0"/>
  </r>
  <r>
    <s v="L-505"/>
    <s v="000"/>
    <s v="ALCIBIADES SOLIS"/>
    <s v="TRASPASADO"/>
    <s v="INSCRITO Y DESEMBOLSADO"/>
    <d v="2023-07-01T00:00:00"/>
    <s v="6-700-2182"/>
    <s v="PANAMEÑA"/>
    <s v="NACIONAL"/>
    <s v="GESPROBAN"/>
    <d v="1976-11-24T00:00:00"/>
    <x v="1"/>
  </r>
  <r>
    <s v="L-506"/>
    <s v="000"/>
    <s v="ERIC WHITAKER"/>
    <s v="TRASPASADO"/>
    <s v="INSCRITO Y DESEMBOLSADO"/>
    <d v="2023-08-01T00:00:00"/>
    <n v="674360401"/>
    <s v="ESTADOUNIDENSE"/>
    <s v="EXTRANJERO NO RESIDENTE"/>
    <s v="DOO PANAMA"/>
    <d v="1979-11-25T00:00:00"/>
    <x v="0"/>
  </r>
  <r>
    <s v="L-507"/>
    <s v="000"/>
    <s v="BRUNO LA GROTTA"/>
    <s v="TRASPASADO"/>
    <s v="INSCRITO Y DESEMBOLSADO"/>
    <d v="2023-03-01T00:00:00"/>
    <s v="8-238-1798"/>
    <s v="PANAMEÑA"/>
    <s v="NACIONAL"/>
    <s v="GESPROBAN"/>
    <d v="1965-06-14T00:00:00"/>
    <x v="0"/>
  </r>
  <r>
    <s v="L-508"/>
    <s v="000"/>
    <s v="PAUL Y RENATE MIANO "/>
    <s v="TRASPASADO"/>
    <s v="INSCRITO Y DESEMBOLSADO"/>
    <d v="2023-04-01T00:00:00"/>
    <s v="668898941 / 668898940"/>
    <s v="ESTADOUNIDENSE"/>
    <s v="EXTRANJERO NO RESIDENTE"/>
    <s v="PANAMA PACIFICA REALTY"/>
    <d v="1950-03-24T00:00:00"/>
    <x v="0"/>
  </r>
  <r>
    <s v="L-509"/>
    <s v="000"/>
    <s v="DAYANARA RÍOS"/>
    <s v="TRASPASADO"/>
    <s v="INSCRITO Y DESEMBOLSADO"/>
    <d v="2023-07-01T00:00:00"/>
    <s v="8-729-1993"/>
    <s v="PANAMEÑA"/>
    <s v="NACIONAL"/>
    <s v="GESPROBAN"/>
    <d v="1979-06-01T00:00:00"/>
    <x v="1"/>
  </r>
  <r>
    <s v="L-510"/>
    <s v="000"/>
    <s v="NICHOLAS CHILLEMI"/>
    <s v="TRASPASADO"/>
    <s v="INSCRITO Y DESEMBOLSADO"/>
    <d v="2023-12-01T00:00:00"/>
    <n v="533608824"/>
    <s v="ESTADOUNIDENSE"/>
    <s v="EXTRANJERO NO RESIDENTE"/>
    <s v="PANAMA EQUITY"/>
    <d v="1956-01-28T00:00:00"/>
    <x v="0"/>
  </r>
  <r>
    <s v="L-511"/>
    <s v="000"/>
    <s v="JEANETTE MUNROE "/>
    <s v="TRASPASADO"/>
    <s v="INSCRITO Y DESEMBOLSADO"/>
    <d v="2023-03-01T00:00:00"/>
    <n v="542879367"/>
    <s v="ESTADOUNIDENSE"/>
    <s v="EXTRANJERO NO RESIDENTE"/>
    <s v="PANAMA PACIFICA REALTY"/>
    <d v="1963-11-22T00:00:00"/>
    <x v="0"/>
  </r>
  <r>
    <s v="L-401"/>
    <n v="-100"/>
    <s v="ROBERT RODRIGUEZ"/>
    <s v="TRASPASADO"/>
    <s v="INSCRITO Y DESEMBOLSADO"/>
    <d v="2023-03-01T00:00:00"/>
    <s v="6-711-23"/>
    <s v="PANAMEÑA"/>
    <s v="NACIONAL"/>
    <s v="GESPROBAN"/>
    <d v="1986-01-03T00:00:00"/>
    <x v="1"/>
  </r>
  <r>
    <s v="L-402"/>
    <n v="-100"/>
    <s v="EDGAR UREÑA"/>
    <s v="TRASPASADO"/>
    <s v="INSCRITO Y DESEMBOLSADO"/>
    <d v="2024-05-01T00:00:00"/>
    <s v="8-735-347"/>
    <s v="PANAMEÑA"/>
    <s v="NACIONAL"/>
    <s v="GESPROBAN"/>
    <d v="1980-03-01T00:00:00"/>
    <x v="1"/>
  </r>
  <r>
    <s v="L-403"/>
    <n v="-100"/>
    <s v="CARLOS ARAGON / MILAINE DOMINGUEZ"/>
    <s v="VENDIDO"/>
    <s v="CON CLIENTE"/>
    <d v="2025-01-01T00:00:00"/>
    <n v="668069351"/>
    <s v="ESTADOUNIDENSE"/>
    <s v="EXTRANJERO NO RESIDENTE"/>
    <s v="MARISOL CUESTA"/>
    <d v="1971-12-12T00:00:00"/>
    <x v="0"/>
  </r>
  <r>
    <s v="L-404"/>
    <n v="-100"/>
    <s v="VERA ANN MATTHEWS / RUDOLF MATTHEWS"/>
    <s v="TRASPASADO"/>
    <s v="INSCRITO Y DESEMBOLSADO"/>
    <d v="2025-06-23T00:00:00"/>
    <s v="572606505 / A6716876"/>
    <s v="ESTADOUNIDENSE"/>
    <s v="EXTRANJERO NO RESIDENTE"/>
    <s v="GESPROBAN"/>
    <d v="1970-11-23T00:00:00"/>
    <x v="1"/>
  </r>
  <r>
    <s v="L-405"/>
    <n v="-100"/>
    <s v="GABRIEL DIAZ / NURIA CASTILLO"/>
    <s v="TRASPASADO"/>
    <s v="INSCRITO Y DESEMBOLSADO"/>
    <d v="2024-02-01T00:00:00"/>
    <s v="8-303-199"/>
    <s v="PANAMEÑA"/>
    <s v="NACIONAL"/>
    <s v="GESPROBAN"/>
    <d v="1968-05-29T00:00:00"/>
    <x v="0"/>
  </r>
  <r>
    <s v="L-406"/>
    <n v="-100"/>
    <s v="JOHN ESTRELLA / MARIA ESTRELLA"/>
    <s v="TRASPASADO"/>
    <s v="INSCRITO Y DESEMBOLSADO"/>
    <d v="2023-10-01T00:00:00"/>
    <s v="HL824486 / HL824480"/>
    <s v="CANADIENSE"/>
    <s v="EXTRANJERO NO RESIDENTE"/>
    <s v="PANAMA EQUITY"/>
    <d v="1971-05-04T00:00:00"/>
    <x v="0"/>
  </r>
  <r>
    <s v="L-407"/>
    <n v="-100"/>
    <s v="LEO MC DONOUGH / JODI ELLIOT"/>
    <s v="TRASPASADO"/>
    <s v="INSCRITO Y DESEMBOLSADO"/>
    <d v="2025-03-01T00:00:00"/>
    <s v="5654432828 / A27056946"/>
    <s v="ESTADOUNIDENSE"/>
    <s v="EXTRANJERO NO RESIDENTE"/>
    <s v="DO PANAMA"/>
    <d v="1962-05-02T00:00:00"/>
    <x v="1"/>
  </r>
  <r>
    <s v="L-408"/>
    <n v="-100"/>
    <s v="CONSTRUA INTERNATIONAL"/>
    <s v="TRASPASADO"/>
    <s v="INSCRITO Y DESEMBOLSADO"/>
    <d v="2023-03-01T00:00:00"/>
    <n v="111800167"/>
    <s v="COSTARRICENSE"/>
    <s v="EXTRANJERO RESIDENTE"/>
    <s v="GESPROBAN"/>
    <d v="1983-09-08T00:00:00"/>
    <x v="0"/>
  </r>
  <r>
    <s v="L-409"/>
    <n v="-100"/>
    <s v="BOJAN MALISEVIC / ZORAN MALISEVIC"/>
    <s v="TRASPASADO"/>
    <s v="INSCRITO Y DESEMBOLSADO"/>
    <d v="2025-05-16T00:00:00"/>
    <s v="X6314258"/>
    <s v="SUIZA"/>
    <s v="EXTRANJERO RESIDENTE"/>
    <s v="JINELLY ROJAS"/>
    <d v="1956-02-28T00:00:00"/>
    <x v="0"/>
  </r>
  <r>
    <s v="L-410"/>
    <n v="-100"/>
    <s v="MICHAEL BELANGER"/>
    <s v="TRASPASADO"/>
    <s v="INSCRITO Y DESEMBOLSADO"/>
    <d v="2023-07-01T00:00:00"/>
    <s v="8-812-1508"/>
    <s v="PANAMEÑA"/>
    <s v="NACIONAL"/>
    <s v="BELANGER REALTY PANAMA"/>
    <d v="1988-02-04T00:00:00"/>
    <x v="1"/>
  </r>
  <r>
    <s v="L-411"/>
    <n v="-100"/>
    <s v="KOYNE LOISELLE"/>
    <s v="TRASPASADO"/>
    <s v="INSCRITO Y DESEMBOLSADO"/>
    <d v="2023-03-01T00:00:00"/>
    <s v="HD813149"/>
    <s v="CANADIENSE"/>
    <s v="EXTRANJERO NO RESIDENTE"/>
    <s v="PANAMA PACIFICA REALTY"/>
    <d v="1970-09-22T00:00:00"/>
    <x v="0"/>
  </r>
  <r>
    <s v=" L-301"/>
    <n v="-200"/>
    <s v="SCOTT WAYNE / THI LE NETTIE"/>
    <s v="TRASPASADO"/>
    <s v="INSCRITO Y DESEMBOLSADO"/>
    <d v="2023-09-01T00:00:00"/>
    <s v="E-8-204924 / E-8-204917"/>
    <s v="CANADIENSE"/>
    <s v="EXTRANJERO NO RESIDENTE"/>
    <s v="PANAMA EQUITY"/>
    <d v="1963-09-10T00:00:00"/>
    <x v="0"/>
  </r>
  <r>
    <s v="L-302"/>
    <n v="-200"/>
    <s v="CARLOS ARAGON"/>
    <s v="TRASPASADO"/>
    <s v="INSCRITO Y DESEMBOLSADO"/>
    <d v="2024-01-01T00:00:00"/>
    <n v="668069351"/>
    <s v="ESTADOUNIDENSE"/>
    <s v="EXTRANJERO NO RESIDENTE"/>
    <s v="MARISOL CUESTA Y BELANGER REALTY PANAMA S.A. "/>
    <d v="1971-12-12T00:00:00"/>
    <x v="0"/>
  </r>
  <r>
    <s v="L-303"/>
    <n v="-200"/>
    <s v="INDIRA GARCIA"/>
    <s v="TRASPASADO"/>
    <s v="INSCRITO Y DESEMBOLSADO"/>
    <d v="2025-01-01T00:00:00"/>
    <s v="6-710-242"/>
    <s v="PANAMEÑA"/>
    <s v="NACIONAL"/>
    <s v="GESPROBAN"/>
    <d v="1985-06-18T00:00:00"/>
    <x v="1"/>
  </r>
  <r>
    <s v="L-304"/>
    <n v="-200"/>
    <s v="JAMES STORK Y RUTH URIETA"/>
    <s v="TRASPASADO"/>
    <s v="INSCRITO Y DESEMBOLSADO"/>
    <d v="2025-03-01T00:00:00"/>
    <s v="556318808 / 8-297-14"/>
    <s v="PANAMEÑA"/>
    <s v="NACIONAL"/>
    <s v="GESPROBAN"/>
    <d v="1959-11-05T00:00:00"/>
    <x v="1"/>
  </r>
  <r>
    <s v="L-305"/>
    <n v="-200"/>
    <s v="GRUPO DICOS "/>
    <s v="VENDIDO"/>
    <s v="CON CLIENTE"/>
    <d v="2025-02-24T00:00:00"/>
    <m/>
    <s v="PANAMEÑA"/>
    <s v="NACIONAL"/>
    <s v="GESPROBAN"/>
    <m/>
    <x v="0"/>
  </r>
  <r>
    <s v="L-306"/>
    <n v="-200"/>
    <s v="LUIS ENRIQUE QUIROS CORDERO"/>
    <s v="VENDIDO"/>
    <s v="CON CLIENTE"/>
    <d v="2025-01-01T00:00:00"/>
    <s v="G385623"/>
    <s v="COSTARRICENSE"/>
    <s v="EXTRANJERO NO RESIDENTE"/>
    <s v="GESPROBAN"/>
    <d v="1976-07-14T00:00:00"/>
    <x v="0"/>
  </r>
  <r>
    <s v="L-307"/>
    <n v="-200"/>
    <s v="YANIRED GONZALEZ ALVARADO DE ADAMS"/>
    <s v="TRASPASADO"/>
    <s v="INSCRITO Y DESEMBOLSADO"/>
    <d v="2025-01-01T00:00:00"/>
    <s v="8-307-182"/>
    <s v="PANAMEÑA"/>
    <s v="NACIONAL"/>
    <s v="GESPROBAN"/>
    <d v="1968-12-29T00:00:00"/>
    <x v="0"/>
  </r>
  <r>
    <s v="L-308"/>
    <n v="-200"/>
    <s v="NORA MORENO"/>
    <s v="TRASPASADO"/>
    <s v="INSCRITO Y DESEMBOLSADO"/>
    <d v="2024-07-01T00:00:00"/>
    <s v="8-799-2141"/>
    <s v="PANAMEÑA"/>
    <s v="NACIONAL"/>
    <s v="GESPROBAN"/>
    <d v="1984-10-21T00:00:00"/>
    <x v="0"/>
  </r>
  <r>
    <s v="L-309"/>
    <n v="-200"/>
    <s v="SHAROMAY OSMA"/>
    <s v="TRASPASADO"/>
    <s v="INSCRITO Y DESEMBOLSADO"/>
    <d v="2024-05-01T00:00:00"/>
    <s v="8-460-62"/>
    <s v="PANAMEÑA"/>
    <s v="NACIONAL"/>
    <s v="GESPROBAN"/>
    <d v="1973-11-26T00:00:00"/>
    <x v="1"/>
  </r>
  <r>
    <s v="L-310"/>
    <n v="-200"/>
    <s v="GERMAN SANCHEZ"/>
    <s v="TRASPASADO"/>
    <s v="INSCRITO Y DESEMBOLSADO"/>
    <d v="2024-11-01T00:00:00"/>
    <s v="9-726-1097"/>
    <s v="PANAMEÑA"/>
    <s v="NACIONAL"/>
    <s v="GESPROBAN"/>
    <d v="1987-04-07T00:00:00"/>
    <x v="1"/>
  </r>
  <r>
    <s v="L-311"/>
    <n v="-200"/>
    <s v="MELINDA MOORE"/>
    <s v="TRASPASADO"/>
    <s v="PDTE ESCRITURACION"/>
    <d v="2024-08-01T00:00:00"/>
    <s v="A03717675"/>
    <s v="ESTADOUNIDENSE"/>
    <s v="EXTRANJERO NO RESIDENTE"/>
    <s v="PANAMA PACIFICA REALTY"/>
    <d v="1959-02-08T00:00:00"/>
    <x v="1"/>
  </r>
  <r>
    <s v="L-312"/>
    <n v="-200"/>
    <s v="ALVARO MORENO"/>
    <s v="TRASPASADO"/>
    <s v="INSCRITO Y DESEMBOLSADO"/>
    <d v="2024-08-01T00:00:00"/>
    <s v="8-239-2489"/>
    <s v="PANAMEÑA"/>
    <s v="NACIONAL"/>
    <s v="GESPROBAN"/>
    <d v="1963-10-13T00:00:00"/>
    <x v="1"/>
  </r>
  <r>
    <s v="L-201"/>
    <n v="-300"/>
    <s v="SIMON LEWIS CHAPELLE"/>
    <s v="TRASPASADO"/>
    <s v="INSCRITO Y DESEMBOLSADO"/>
    <d v="2024-02-01T00:00:00"/>
    <s v="679659135 / 651130541"/>
    <s v="ESTADOUNIDENSE"/>
    <s v="EXTRANJERO NO RESIDENTE"/>
    <s v="SCOTT NETTIE Y AILEEN VEGA"/>
    <d v="1960-03-13T00:00:00"/>
    <x v="0"/>
  </r>
  <r>
    <s v="L-202"/>
    <n v="-300"/>
    <s v="RUTH WINSLOW"/>
    <s v="TRASPASADO"/>
    <s v="INSCRITO Y DESEMBOLSADO"/>
    <d v="2023-03-01T00:00:00"/>
    <s v="E-8-129577"/>
    <s v="ESTADOUNIDENSE"/>
    <s v="EXTRANJERO NO RESIDENTE"/>
    <s v="GESPROBAN"/>
    <d v="1939-01-11T00:00:00"/>
    <x v="2"/>
  </r>
  <r>
    <s v="L-203"/>
    <n v="-300"/>
    <s v="JOSE ALEJANDRO DE LEON"/>
    <s v="VENDIDO"/>
    <s v="CON CLIENTE"/>
    <d v="2025-11-10T00:00:00"/>
    <s v="8-422-830"/>
    <s v="PANAMEÑA"/>
    <s v="NACIONAL"/>
    <m/>
    <d v="1972-12-20T00:00:00"/>
    <x v="0"/>
  </r>
  <r>
    <s v="L-204"/>
    <n v="-300"/>
    <m/>
    <s v="DISPONIBLE"/>
    <s v="PENDIENTE"/>
    <m/>
    <m/>
    <m/>
    <m/>
    <m/>
    <m/>
    <x v="3"/>
  </r>
  <r>
    <s v="L-205"/>
    <n v="-300"/>
    <s v="ISABELLE BELANGER"/>
    <s v="VENDIDO"/>
    <s v="CON CLIENTE"/>
    <d v="2026-01-27T00:00:00"/>
    <s v="HL394139"/>
    <s v="CANADIENSE"/>
    <s v="EXTRANJERO NO RESIDENTE"/>
    <s v="GESPROBAN"/>
    <d v="1973-01-14T00:00:00"/>
    <x v="0"/>
  </r>
  <r>
    <s v="L-206"/>
    <n v="-300"/>
    <s v="DARKO VASIC Y DANIEL KRAUSKOPF"/>
    <s v="VENDIDO"/>
    <s v="CON CLIENTE"/>
    <d v="2025-12-02T00:00:00"/>
    <s v="P961231QS Y P350367BI"/>
    <s v="CANADIENSE"/>
    <s v="EXTRANJERO NO RESIDENTE"/>
    <m/>
    <m/>
    <x v="0"/>
  </r>
  <r>
    <s v="L-207"/>
    <n v="-300"/>
    <m/>
    <s v="DISPONIBLE"/>
    <s v="PENDIENTE"/>
    <m/>
    <m/>
    <m/>
    <m/>
    <m/>
    <m/>
    <x v="3"/>
  </r>
  <r>
    <s v="L-208"/>
    <n v="-300"/>
    <s v="SANDRA KAVANAUGH"/>
    <s v="VENDIDO"/>
    <s v="CON CLIENTE"/>
    <d v="2025-11-18T00:00:00"/>
    <n v="532922899"/>
    <s v="ESTADOUNIDENSE"/>
    <s v="EXTRANJERO NO RESIDENTE"/>
    <s v="PANAMA PACIFICA REALTY"/>
    <d v="1954-01-31T00:00:00"/>
    <x v="0"/>
  </r>
  <r>
    <s v="L-209"/>
    <n v="-300"/>
    <s v="CONSTRUA INTERNATIONAL"/>
    <s v="TRASPASADO"/>
    <s v="INSCRITO Y DESEMBOLSADO"/>
    <d v="2025-10-17T00:00:00"/>
    <n v="111800167"/>
    <s v="COSTARRICENSE"/>
    <s v="EXTRANJERO RESIDENTE"/>
    <s v="GESPROBAN"/>
    <d v="1983-09-08T00:00:00"/>
    <x v="0"/>
  </r>
  <r>
    <s v="L-210"/>
    <n v="-300"/>
    <m/>
    <s v="DISPONIBLE"/>
    <s v="PENDIENTE"/>
    <m/>
    <m/>
    <m/>
    <m/>
    <m/>
    <m/>
    <x v="3"/>
  </r>
  <r>
    <s v="L-211"/>
    <n v="-300"/>
    <s v="MICHAEL RIVAS"/>
    <s v="TRASPASADO"/>
    <s v="INSCRITO Y DESEMBOLSADO"/>
    <d v="2024-01-01T00:00:00"/>
    <s v="2-731-1908"/>
    <s v="PANAMEÑA"/>
    <s v="NACIONAL"/>
    <s v="GESPROBAN"/>
    <d v="1993-05-05T00:00:00"/>
    <x v="1"/>
  </r>
  <r>
    <s v="L-212"/>
    <n v="-300"/>
    <s v="ALESSANDRO GANCI CERRUD"/>
    <s v="TRASPASADO"/>
    <s v="INSCRITO Y DESEMBOLSADO"/>
    <d v="2024-10-01T00:00:00"/>
    <s v="PE-92339"/>
    <s v="PANAMEÑA"/>
    <s v="NACIONAL"/>
    <s v="GESPROBAN"/>
    <d v="1967-08-21T00:00:00"/>
    <x v="1"/>
  </r>
  <r>
    <s v="L-101"/>
    <n v="-400"/>
    <m/>
    <s v="DISPONIBLE"/>
    <s v="PENDIENTE"/>
    <m/>
    <m/>
    <m/>
    <m/>
    <m/>
    <m/>
    <x v="3"/>
  </r>
  <r>
    <s v="L-102"/>
    <n v="-400"/>
    <s v="PAUL HINSHAW"/>
    <s v="TRASPASADO"/>
    <s v="INSCRITO Y DESEMBOLSADO"/>
    <d v="2025-07-29T00:00:00"/>
    <n v="558796241"/>
    <s v="ESTADOUNIDENSE"/>
    <s v="EXTRANJERO NO RESIDENTE"/>
    <s v="PANAMA EQUITY"/>
    <d v="1962-02-16T00:00:00"/>
    <x v="2"/>
  </r>
  <r>
    <s v="L-103"/>
    <n v="-400"/>
    <s v="ALLISON SMITH HARRIS"/>
    <s v="TRASPASADO"/>
    <s v="INSCRITO Y DESEMBOLSADO"/>
    <d v="2025-01-18T00:00:00"/>
    <n v="682638818"/>
    <s v="ESTADOUNIDENSE"/>
    <s v="EXTRANJERO NO RESIDENTE"/>
    <s v="PANAMA EQUITY"/>
    <d v="1976-11-02T00:00:00"/>
    <x v="1"/>
  </r>
  <r>
    <s v="L-104"/>
    <n v="-400"/>
    <s v="PEDRO GALVEZ"/>
    <s v="TRASPASADO"/>
    <s v="INSCRITO Y DESEMBOLSADO"/>
    <d v="2024-05-01T00:00:00"/>
    <s v="E-8-182664"/>
    <s v="GUATEMALTECO"/>
    <s v="EXTRANJERO RESIDENTE"/>
    <s v="GESPROBAN"/>
    <d v="1985-11-17T00:00:00"/>
    <x v="0"/>
  </r>
  <r>
    <s v="L-105"/>
    <n v="-400"/>
    <m/>
    <s v="DISPONIBLE"/>
    <s v="PENDIENTE"/>
    <m/>
    <m/>
    <m/>
    <m/>
    <m/>
    <m/>
    <x v="3"/>
  </r>
  <r>
    <s v="L-106"/>
    <n v="-400"/>
    <s v="SANDRA KAVANAUGH"/>
    <s v="TRASPASADO"/>
    <s v="INSCRITO Y DESEMBOLSADO"/>
    <d v="2024-08-01T00:00:00"/>
    <n v="532922899"/>
    <s v="ESTADOUNIDENSE"/>
    <s v="EXTRANJERO NO RESIDENTE"/>
    <s v="PANAMA PACIFICA REALTY"/>
    <d v="1954-01-31T00:00:00"/>
    <x v="0"/>
  </r>
  <r>
    <s v="L-107"/>
    <n v="-400"/>
    <m/>
    <s v="DISPONIBLE"/>
    <s v="PENDIENTE"/>
    <m/>
    <m/>
    <m/>
    <m/>
    <m/>
    <m/>
    <x v="3"/>
  </r>
  <r>
    <s v="L-108"/>
    <n v="-400"/>
    <m/>
    <s v="DISPONIBLE"/>
    <s v="PENDIENTE"/>
    <m/>
    <m/>
    <m/>
    <m/>
    <m/>
    <m/>
    <x v="3"/>
  </r>
  <r>
    <s v="L-109"/>
    <n v="-400"/>
    <s v="CARMEN BERNASCONI"/>
    <s v="TRASPASADO"/>
    <s v="PDTE ESCRITURACION"/>
    <d v="2025-03-31T00:00:00"/>
    <n v="544315117"/>
    <s v="ESTADOUNIDENSE"/>
    <s v="EXTRANJERO NO RESIDENTE"/>
    <s v="GESPROBAN"/>
    <d v="1967-04-29T00:00:00"/>
    <x v="2"/>
  </r>
  <r>
    <s v="L-110"/>
    <n v="-400"/>
    <m/>
    <s v="DISPONIBLE"/>
    <s v="PENDIENTE"/>
    <m/>
    <m/>
    <m/>
    <m/>
    <m/>
    <m/>
    <x v="3"/>
  </r>
  <r>
    <s v="L-111"/>
    <n v="-400"/>
    <m/>
    <s v="DISPONIBLE"/>
    <s v="PENDIENTE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BEC55-0F05-B94F-928E-9C6E517E19A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7:B46" firstHeaderRow="1" firstDataRow="1" firstDataCol="1"/>
  <pivotFields count="1">
    <pivotField axis="axisRow" dataField="1" showAll="0">
      <items count="9">
        <item x="2"/>
        <item x="0"/>
        <item x="4"/>
        <item x="3"/>
        <item x="7"/>
        <item x="1"/>
        <item x="5"/>
        <item x="6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uenta de NACIONALIDA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92CCA-A104-F744-82FA-BC9C057B4762}" name="TablaDiná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7:B32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m="1" x="4"/>
        <item x="0"/>
        <item x="2"/>
        <item x="3"/>
        <item t="default"/>
      </items>
    </pivotField>
  </pivotFields>
  <rowFields count="1">
    <field x="11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Cuenta de PERFIL DE INGRESOS" fld="1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3B691B-1166-0143-AD11-C4A4C4119396}" name="Tabla2" displayName="Tabla2" ref="A2:E60" totalsRowShown="0" headerRowDxfId="190" headerRowBorderDxfId="189" tableBorderDxfId="188" headerRowCellStyle="Normal 2">
  <autoFilter ref="A2:E60" xr:uid="{AA8BDE57-10EC-9448-B296-B4AF940EAB07}"/>
  <tableColumns count="5">
    <tableColumn id="1" xr3:uid="{106FE4D8-B275-BC4E-BD2A-5B9F18941A8A}" name="Ud." dataDxfId="187" dataCellStyle="Normal 2"/>
    <tableColumn id="2" xr3:uid="{4F594837-C03B-7149-85D8-6B517FEC689B}" name="Nivel" dataDxfId="186" dataCellStyle="Normal 2"/>
    <tableColumn id="3" xr3:uid="{8CD0E070-E8C8-CA43-A352-B813E0D89FB5}" name="Modelo" dataDxfId="185" dataCellStyle="Normal 2"/>
    <tableColumn id="4" xr3:uid="{42C40EC5-352A-3549-8A39-5CBE79BA7C18}" name="Apartamento" dataDxfId="184" dataCellStyle="Normal 2"/>
    <tableColumn id="5" xr3:uid="{D9891377-7CB9-6D47-9333-FB5AC5F8AFAA}" name="Precio" dataDxfId="183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C13725-E6A7-F94D-B966-04C3571C8ABF}" name="Tabla4" displayName="Tabla4" ref="A1:CC58" totalsRowShown="0" headerRowDxfId="182" dataDxfId="181" tableBorderDxfId="180">
  <autoFilter ref="A1:CC58" xr:uid="{8BC13725-E6A7-F94D-B966-04C3571C8ABF}"/>
  <tableColumns count="81">
    <tableColumn id="1" xr3:uid="{C16DFA72-242C-5645-B99F-AE020C4C7453}" name="UNIDAD APTO" dataDxfId="179"/>
    <tableColumn id="2" xr3:uid="{6C2B2556-670B-1A4E-8A3D-7EFE64BB4A35}" name="NIVEL" dataDxfId="178"/>
    <tableColumn id="3" xr3:uid="{71AB53E2-6E92-EF41-BD79-14BA28C38862}" name="CLIENTE" dataDxfId="177"/>
    <tableColumn id="5" xr3:uid="{9BA502E2-E001-FE43-A39F-6AC3C0D5A664}" name="RESERVADAS, VENDIDAS" dataDxfId="176"/>
    <tableColumn id="113" xr3:uid="{016B1869-37F5-1B47-A1BE-ADC7344084D1}" name="ESTATUS" dataDxfId="175"/>
    <tableColumn id="4" xr3:uid="{F5D2BDC1-4C72-C74B-8E9E-60A2FCC0FE29}" name="FECHA DE RESERVA" dataDxfId="174"/>
    <tableColumn id="6" xr3:uid="{997505C9-04E9-324E-9597-8E4340FA371D}" name="NÚMERO DE IDENTIDAD" dataDxfId="173"/>
    <tableColumn id="7" xr3:uid="{DAFEC9E0-4A9A-9947-81AD-21733695388E}" name="NACIONALIDAD" dataDxfId="172"/>
    <tableColumn id="8" xr3:uid="{3759FA63-9917-DD4D-ADF4-8E0C490883BA}" name="CLASIFCACIÓN" dataDxfId="171"/>
    <tableColumn id="115" xr3:uid="{F4F1B322-D91F-CE44-9794-490E1D9492D5}" name="BROKER" dataDxfId="170"/>
    <tableColumn id="9" xr3:uid="{4374AC3F-FC0F-DD4D-A57A-E858AE281B1A}" name="FECHA NACIMIENTO" dataDxfId="169"/>
    <tableColumn id="12" xr3:uid="{5915DAFC-A0D2-4140-9F84-428A40CC6B1B}" name="PERFIL DE INGRESOS" dataDxfId="168"/>
    <tableColumn id="13" xr3:uid="{4D7FF0FE-978A-774C-9F21-CC9AB97D09DA}" name="PROFESION" dataDxfId="167"/>
    <tableColumn id="14" xr3:uid="{7174FAF0-3C5E-4A43-929E-5E7A84282227}" name="FORMA DE PAGO" dataDxfId="166"/>
    <tableColumn id="15" xr3:uid="{72874325-9A7C-024F-A433-C8BC96F47640}" name="PAQUETE DE MUEBLES" dataDxfId="165"/>
    <tableColumn id="16" xr3:uid="{755C0089-1894-0848-8390-CF678C4CA8F2}" name="EXTRAS" dataDxfId="164"/>
    <tableColumn id="17" xr3:uid="{C180F65E-7639-0549-BF74-68C42FFCB15D}" name="INCLUIDO EN PRECIO DE VENTA" dataDxfId="163"/>
    <tableColumn id="18" xr3:uid="{3E9EC699-1F7B-354D-9979-4CC28988A33A}" name="VALOR DEL PAQUETE" dataDxfId="162"/>
    <tableColumn id="21" xr3:uid="{7E3233FE-9C39-0F49-9E95-05A23C112E0E}" name="MODELO" dataDxfId="161"/>
    <tableColumn id="22" xr3:uid="{2A484192-E828-EF41-A7EF-893EAD667674}" name="AREA CERRADA" dataDxfId="160"/>
    <tableColumn id="23" xr3:uid="{6B411E71-65CF-0D46-A3DD-579E22C68D17}" name="AREA BALCON" dataDxfId="159"/>
    <tableColumn id="24" xr3:uid="{07B32FDB-A4A3-5B4F-AF6E-3C032D01F95A}" name="AREA TOTAL CUANTIFICABLE" dataDxfId="158">
      <calculatedColumnFormula>U2+T2</calculatedColumnFormula>
    </tableColumn>
    <tableColumn id="25" xr3:uid="{46215083-9084-CA49-A010-858B6EB68B80}" name="VALOR DE BALCON" dataDxfId="157" dataCellStyle="Moneda">
      <calculatedColumnFormula>U2*80</calculatedColumnFormula>
    </tableColumn>
    <tableColumn id="26" xr3:uid="{90B07003-D053-3C43-9ACB-41CCD8BC7BE8}" name="VALOR DE VENTA DE AREA CERRADA" dataDxfId="156" dataCellStyle="Moneda">
      <calculatedColumnFormula>AB2*T2</calculatedColumnFormula>
    </tableColumn>
    <tableColumn id="27" xr3:uid="{5381F5A6-9B49-2943-AE44-0C79E5984A96}" name="CARGO ADICIONAL" dataDxfId="155" dataCellStyle="Moneda"/>
    <tableColumn id="28" xr3:uid="{FAD5078A-C699-3B45-BF3E-0A7DCC871B25}" name="AJUSTE" dataDxfId="154" dataCellStyle="Moneda"/>
    <tableColumn id="29" xr3:uid="{0A13B6A1-CEEA-CA44-9F4F-01920F0A6A1C}" name="VALOR TOTAL" dataDxfId="153" dataCellStyle="Moneda"/>
    <tableColumn id="30" xr3:uid="{ED942ADA-EC65-BD4E-AC12-727B2B9AB740}" name="PRECIO X M2" dataDxfId="152" dataCellStyle="Moneda"/>
    <tableColumn id="33" xr3:uid="{51C832E1-AD2F-094B-8D9A-B0F83F55086B}" name="PORCENTAJE ABONADO" dataDxfId="151">
      <calculatedColumnFormula>((AD2*1)/AA2)</calculatedColumnFormula>
    </tableColumn>
    <tableColumn id="34" xr3:uid="{9436B4D5-CBF6-3A4C-A8EF-C273E7262BE7}" name="ABONOS RECIBIDOS" dataDxfId="150" dataCellStyle="Porcentaje">
      <calculatedColumnFormula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calculatedColumnFormula>
    </tableColumn>
    <tableColumn id="56" xr3:uid="{5B0219DB-9429-E24A-84D1-5BDAD92F1FC1}" name="MONTO A GISA" dataDxfId="149"/>
    <tableColumn id="59" xr3:uid="{77EB3746-7E84-3B4B-B6D5-AC8A1A56F6FA}" name="MONTO A MULTIBANK" dataDxfId="148" dataCellStyle="Moneda"/>
    <tableColumn id="61" xr3:uid="{F6DEA530-9140-754C-963A-DADDFB4A83B6}" name="SALDO PENDIENTE" dataDxfId="147" dataCellStyle="Moneda">
      <calculatedColumnFormula>ABONOS!E3</calculatedColumnFormula>
    </tableColumn>
    <tableColumn id="64" xr3:uid="{CCE7B19C-D591-6447-8738-21918F937865}" name="ESTATUS DE PAGO" dataDxfId="146">
      <calculatedColumnFormula array="1">_xlfn.IFS(Tabla4[[#This Row],[RESERVADAS, VENDIDAS]]="DISPONIBLE","",Tabla4[[#This Row],[SALDO PENDIENTE]]=0,"PAZ Y SALVO",Tabla4[[#This Row],[SALDO PENDIENTE]]=Tabla4[[#This Row],[MONTO CPP]],"COBRO CPP",Tabla4[[#This Row],[SALDO PENDIENTE]]&gt;0,"PENDIENTE")</calculatedColumnFormula>
    </tableColumn>
    <tableColumn id="40" xr3:uid="{D46DE617-B922-D84D-B057-98DA09E6F120}" name="BANCO" dataDxfId="145"/>
    <tableColumn id="42" xr3:uid="{BA3633C1-2468-0A48-B87C-9C470BFA9567}" name="OFICIAL DE TRÁMITE" dataDxfId="144" dataCellStyle="Moneda"/>
    <tableColumn id="43" xr3:uid="{6271165F-4788-1B40-82FF-BB2ACCD0FE88}" name="CONTACTO OFICIAL" dataDxfId="143" dataCellStyle="Moneda"/>
    <tableColumn id="44" xr3:uid="{B0420AEC-AFD7-914E-A04F-EFE84B39EBE8}" name="ESTATUS2" dataDxfId="142" dataCellStyle="Moneda"/>
    <tableColumn id="45" xr3:uid="{5FA887EE-F70E-1742-B2AB-13D1B86365F2}" name="FECHA DE EMISION DE CPP" dataDxfId="141"/>
    <tableColumn id="48" xr3:uid="{7AB578D0-1DD9-8E4C-9121-A8AFC84609EA}" name="FECHA DE VENCIMIENTO CPP" dataDxfId="140"/>
    <tableColumn id="51" xr3:uid="{D8B37843-AACD-124B-85C6-FEFB5B8A1E56}" name="COMENTARIOS" dataDxfId="139"/>
    <tableColumn id="52" xr3:uid="{788C9E88-A2EC-0A4F-9A30-E83C08DADB34}" name="MONTO CPP" dataDxfId="138" dataCellStyle="Moneda"/>
    <tableColumn id="31" xr3:uid="{C8585FFD-3AAD-A741-93F5-CDB8F55DA11A}" name="RESERVAS, VENDIDAS" dataDxfId="137" dataCellStyle="Moneda"/>
    <tableColumn id="37" xr3:uid="{100AFE0F-A33C-AE46-B5D4-E4C546151BDE}" name="FECHA DE CONTRATO" dataDxfId="136" dataCellStyle="Moneda"/>
    <tableColumn id="32" xr3:uid="{2752B599-DA37-9842-91C6-A71395BA54B5}" name="PRECIO DE CONTRATO DE COMPRA Y VENTA" dataDxfId="135" dataCellStyle="Moneda"/>
    <tableColumn id="69" xr3:uid="{8743CEE6-5D2B-C248-9B24-B4765793DEA3}" name="NUMERO FINCA" dataDxfId="134"/>
    <tableColumn id="70" xr3:uid="{B47C6CB5-3E6E-8F44-A4BB-555BBB97F50D}" name="GASTOS LEGALES" dataDxfId="133"/>
    <tableColumn id="71" xr3:uid="{EC34A8E3-90A4-F145-982D-B5E99F702D8E}" name="MONTO5" dataDxfId="132" dataCellStyle="Moneda"/>
    <tableColumn id="73" xr3:uid="{A9744CE8-B775-6340-928B-C62B8B7E6B79}" name="SALDO PENDIENTE3" dataDxfId="131" dataCellStyle="Moneda">
      <calculatedColumnFormula>ABONOS!O3</calculatedColumnFormula>
    </tableColumn>
    <tableColumn id="74" xr3:uid="{E070DB97-B66A-224D-8705-CCC1F8A794E4}" name="ESTATUS6" dataDxfId="130">
      <calculatedColumnFormula array="1">_xlfn.IFS(Tabla4[[#This Row],[MONTO5]]=0,"",Tabla4[[#This Row],[SALDO PENDIENTE3]]=0,"PAZ Y SALVO",Tabla4[[#This Row],[SALDO PENDIENTE3]]&gt;0,"PENDIENTE")</calculatedColumnFormula>
    </tableColumn>
    <tableColumn id="77" xr3:uid="{BCF7E265-7A12-9646-928A-43A783FF2FCA}" name="COMENTARIOS ESTATUS LEGAL" dataDxfId="129"/>
    <tableColumn id="66" xr3:uid="{DADC6513-219F-A942-BAD9-EE09222B65E3}" name="SOLICITUD DE MINUTA LIBERACIÓN" dataDxfId="128"/>
    <tableColumn id="78" xr3:uid="{9BB057FE-3CDB-E64E-BEA7-C788902137B1}" name="MINUTA LIBERACIÓN" dataDxfId="127"/>
    <tableColumn id="79" xr3:uid="{9BC93B92-68E3-CE46-8681-1F63D6A78A34}" name="FECHA RECIBIDO MINUTA LIBERACION" dataDxfId="126"/>
    <tableColumn id="118" xr3:uid="{932C1BFE-D471-754C-AD6D-3CF04E246FBD}" name="DIAS TRANSCURRIDOS MINUTA LIBERACIÓN" dataDxfId="125">
      <calculatedColumnFormula>Tabla4[[#This Row],[FECHA RECIBIDO MINUTA LIBERACION]]-Tabla4[[#This Row],[SOLICITUD DE MINUTA LIBERACIÓN]]</calculatedColumnFormula>
    </tableColumn>
    <tableColumn id="81" xr3:uid="{F5361115-485B-954A-9ADB-FB0474A0DFFB}" name="MINUTA DE VENTA" dataDxfId="124"/>
    <tableColumn id="82" xr3:uid="{C9A01D5E-AD68-DD48-9B35-66B28FD06649}" name="FECHA EMISION MINUTA VENTA" dataDxfId="123"/>
    <tableColumn id="84" xr3:uid="{23A255DE-E7B4-344B-A994-2C71B59CB162}" name="MINUTA DE PRESTAMO" dataDxfId="122"/>
    <tableColumn id="86" xr3:uid="{4F6F645A-359E-E545-BE29-5E9F1BB1EF40}" name="ACTIVACIÓN DE TRAMITE" dataDxfId="121"/>
    <tableColumn id="87" xr3:uid="{3490453F-8763-164F-BD5F-9656BA4E03FA}" name="SOLICITUD DE AVALUO" dataDxfId="120"/>
    <tableColumn id="88" xr3:uid="{9A4ABCC5-4948-5E43-9517-8AB1EB7C4606}" name="FECHA DE INSPECCIÓN DE AVALUO" dataDxfId="119"/>
    <tableColumn id="89" xr3:uid="{A2971B3D-5F6E-D34F-9963-423D6757134D}" name="ENCARGADO DE AVALUO" dataDxfId="118"/>
    <tableColumn id="90" xr3:uid="{941CAFC3-9F39-4842-9754-F8489A8D88F3}" name="CONFECCION DE PROTOCOLO" dataDxfId="117"/>
    <tableColumn id="93" xr3:uid="{AF272DF2-C483-E940-9500-22AF9EDCD46F}" name="FIRMA CLIENTE" dataDxfId="116"/>
    <tableColumn id="94" xr3:uid="{747799D8-FD20-484A-BC27-4A5851C41929}" name="FIRMA PROMOTOR" dataDxfId="115"/>
    <tableColumn id="95" xr3:uid="{3BB0215D-09AE-D842-BD7D-9BC73DB3C516}" name="ENVIO A INTERINO" dataDxfId="114"/>
    <tableColumn id="96" xr3:uid="{082E8404-2ABA-E84A-B64A-9A4BE22DE955}" name="RECEPCIÓN INTERINO" dataDxfId="113"/>
    <tableColumn id="116" xr3:uid="{C011D22B-F81C-C849-8967-24EEA3A97E80}" name="DIAS TRANSCURRIDOS INTERINO" dataDxfId="112">
      <calculatedColumnFormula>Tabla4[[#This Row],[RECEPCIÓN INTERINO]]-Tabla4[[#This Row],[ENVIO A INTERINO]]</calculatedColumnFormula>
    </tableColumn>
    <tableColumn id="97" xr3:uid="{0CBA411A-4DCD-EA4A-97CD-73909C2C4B22}" name="PAGO IMPUESTO" dataDxfId="111"/>
    <tableColumn id="98" xr3:uid="{46371FDB-EFE3-EF42-9F28-4523DD700857}" name="IDAAN" dataDxfId="110"/>
    <tableColumn id="99" xr3:uid="{9EBACF75-1C68-244E-B319-D9C1A42CE381}" name="INMUEBLE" dataDxfId="109"/>
    <tableColumn id="100" xr3:uid="{1EF43CDA-EB73-2048-BC4B-2025B48A8066}" name="PH " dataDxfId="108"/>
    <tableColumn id="101" xr3:uid="{611A2D6C-83C3-7E45-B79F-32EAE4CE4971}" name="BANCO CLIENTE" dataDxfId="107"/>
    <tableColumn id="36" xr3:uid="{EF51BDCF-8C3C-CA49-8B26-082A888E5E5E}" name="NOTARIA" dataDxfId="106"/>
    <tableColumn id="35" xr3:uid="{BFAC5C4B-F5C7-2042-8737-7E115D56E489}" name="RECEPCIÓN DE NOTARIA" dataDxfId="105"/>
    <tableColumn id="102" xr3:uid="{2F66CD89-A515-2E41-9AF1-E7C2049962AC}" name="CIERRE DE NOTARIA" dataDxfId="104"/>
    <tableColumn id="103" xr3:uid="{13EED31E-C0C6-8442-AE31-A77AAF6E2A76}" name="INGRESO REGISTRO" dataDxfId="103"/>
    <tableColumn id="104" xr3:uid="{79A7EDEF-5337-074B-9ECF-25476B56CEDC}" name="INSCRIPCIÓN REGISTRO" dataDxfId="102"/>
    <tableColumn id="105" xr3:uid="{3058EFE9-FA71-EB4D-9453-880B91B9295A}" name="SOLICITUD DE DESEMBOLSO" dataDxfId="101"/>
    <tableColumn id="106" xr3:uid="{401B30E1-0AFF-3242-83C2-7914F66E2F67}" name="DESEMBOLSO" dataDxfId="100"/>
    <tableColumn id="112" xr3:uid="{F585E3E6-2369-364B-8C87-AA5AF6DE9168}" name="FECHA DE ENTREGA" dataDxfId="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33642E-CC5F-FC49-B8F6-7DF8AF099C2D}" name="Tabla35" displayName="Tabla35" ref="A63:F591" totalsRowShown="0" headerRowDxfId="98" dataDxfId="97">
  <autoFilter ref="A63:F591" xr:uid="{C633642E-CC5F-FC49-B8F6-7DF8AF099C2D}"/>
  <sortState xmlns:xlrd2="http://schemas.microsoft.com/office/spreadsheetml/2017/richdata2" ref="A64:F591">
    <sortCondition ref="A64:A447"/>
    <sortCondition ref="F64:F447"/>
  </sortState>
  <tableColumns count="6">
    <tableColumn id="1" xr3:uid="{B8FEE497-7CD0-4244-87B3-9502833C9776}" name="Fecha" dataDxfId="96"/>
    <tableColumn id="2" xr3:uid="{AB16F88F-CE21-534D-A401-AAC1249290C0}" name="Lote" dataDxfId="95"/>
    <tableColumn id="3" xr3:uid="{A8DB4FA6-E1D1-B844-8BEB-684E16EF74B8}" name="Cliente" dataDxfId="94"/>
    <tableColumn id="4" xr3:uid="{00564B8E-1E95-244A-83D7-227AC34CB53E}" name="Abonos" dataDxfId="93" dataCellStyle="Millares"/>
    <tableColumn id="5" xr3:uid="{7F417282-2299-BE45-9856-E2E007A03325}" name="Concepto" dataDxfId="92"/>
    <tableColumn id="6" xr3:uid="{C231439D-6EBD-CC4D-B53A-291C79185365}" name="Recibo" dataDxfId="9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54BCD6-F99A-784F-AD35-4D02BBB5FDCB}" name="Tabla5" displayName="Tabla5" ref="B2:X60" headerRowDxfId="90" dataDxfId="88" totalsRowDxfId="86" headerRowBorderDxfId="89" tableBorderDxfId="87">
  <autoFilter ref="B2:X60" xr:uid="{1054BCD6-F99A-784F-AD35-4D02BBB5FDCB}"/>
  <tableColumns count="23">
    <tableColumn id="1" xr3:uid="{CC87AABE-851B-FC4A-9FF5-57A21551A81F}" name="APTO" totalsRowLabel="Total" dataDxfId="85" totalsRowDxfId="84" dataCellStyle="Normal 2"/>
    <tableColumn id="2" xr3:uid="{6ADD1658-4702-CA4D-8F03-814B0B21115D}" name="CLIENTE" dataDxfId="83" totalsRowDxfId="82" dataCellStyle="Normal 2"/>
    <tableColumn id="3" xr3:uid="{B5A263D9-FC5A-FA4F-B045-808CF25EA9AE}" name="VALOR VENTA" dataDxfId="81" totalsRowDxfId="80" dataCellStyle="Millares"/>
    <tableColumn id="20" xr3:uid="{0BB97AB7-1541-9A47-8C0B-9948A3675F1A}" name="PENDIENTE PRECIO APTO" dataDxfId="79" totalsRowDxfId="78" dataCellStyle="Millares"/>
    <tableColumn id="19" xr3:uid="{51E0589C-7381-E14B-B12D-ABF15E2C388C}" name="TOTAL PENDIENTE" dataDxfId="77" totalsRowDxfId="76" dataCellStyle="Millares">
      <calculatedColumnFormula>Tabla5[[#This Row],[PENDIENTE GISA]]+Tabla5[[#This Row],[PENDIENTE MULTIBANK]]+Tabla5[[#This Row],[PENDIENTE GASTOS LEGALES]]+Tabla5[[#This Row],[FONDO ADM PENDIENTE]]+Tabla5[[#This Row],[MEDIDOR PENDIENTE]]+Tabla5[[#This Row],[PENALIZACIÓN PENDIENTE]]</calculatedColumnFormula>
    </tableColumn>
    <tableColumn id="4" xr3:uid="{FCB1FC57-9EE5-9D40-BE56-FD2918F920D4}" name="MONTO GISA" dataDxfId="75" totalsRowDxfId="74" dataCellStyle="Millares"/>
    <tableColumn id="5" xr3:uid="{2434F270-E604-6340-AA49-36EDB124E853}" name="ABONO GISA COBRADO" dataDxfId="73" totalsRowDxfId="72" dataCellStyle="Millares"/>
    <tableColumn id="6" xr3:uid="{8D168CC9-B651-594D-BA3C-85AFC64C06E0}" name="PENDIENTE GISA" dataDxfId="71" totalsRowDxfId="70" dataCellStyle="Millares"/>
    <tableColumn id="7" xr3:uid="{1154BC64-C384-0548-BCA7-CC43659E4C45}" name="MONTO MULTIBANK" dataDxfId="69" totalsRowDxfId="68" dataCellStyle="Millares"/>
    <tableColumn id="8" xr3:uid="{C234A0AA-7CD6-E84D-963A-F31B0BFF8AA8}" name="COBRADO MULTIBANK" dataDxfId="67" totalsRowDxfId="66" dataCellStyle="Millares"/>
    <tableColumn id="9" xr3:uid="{9E8D41C9-ED8E-B048-B385-145F8B454D5C}" name="PENDIENTE MULTIBANK" dataDxfId="65" totalsRowDxfId="64" dataCellStyle="Millares"/>
    <tableColumn id="10" xr3:uid="{D0B434E0-1C25-5B46-BB94-A9B8C5B7904A}" name="GASTOS LEGALES" dataDxfId="63" totalsRowDxfId="62" dataCellStyle="Millares"/>
    <tableColumn id="11" xr3:uid="{CB0DF29B-5740-0D49-BEB1-380A9CE6BE6F}" name="GASTOS LEGALES COBRADOS" dataDxfId="61" totalsRowDxfId="60" dataCellStyle="Millares"/>
    <tableColumn id="12" xr3:uid="{E393C568-41F6-E74E-89D6-310AB97F0022}" name="PENDIENTE GASTOS LEGALES" dataDxfId="59" totalsRowDxfId="58" dataCellStyle="Millares"/>
    <tableColumn id="13" xr3:uid="{92A370F6-64B7-A14A-9A0A-A7A042AB082D}" name="FONDO ADMIN" dataDxfId="57" totalsRowDxfId="56" dataCellStyle="Millares"/>
    <tableColumn id="14" xr3:uid="{0C306F62-FB54-8145-BF40-EB64CAB69C36}" name="FONDO ADM COBRADO" dataDxfId="55" totalsRowDxfId="54" dataCellStyle="Millares"/>
    <tableColumn id="15" xr3:uid="{91E429E1-8A40-6544-A934-69E5AC5F5CC0}" name="FONDO ADM PENDIENTE" dataDxfId="53" totalsRowDxfId="52" dataCellStyle="Millares"/>
    <tableColumn id="16" xr3:uid="{0A29982C-2191-514F-BFE8-692685181339}" name="MEDIDOR" dataDxfId="51" totalsRowDxfId="50" dataCellStyle="Millares"/>
    <tableColumn id="17" xr3:uid="{9A5F8DF4-1A66-1F44-91E1-2151228FE7FE}" name="MEDIDOR COBRADO" dataDxfId="49" totalsRowDxfId="48" dataCellStyle="Millares"/>
    <tableColumn id="18" xr3:uid="{8308C9D5-0BCA-DC4B-8E78-665E00C793F6}" name="MEDIDOR PENDIENTE" dataDxfId="47" totalsRowDxfId="46" dataCellStyle="Millares"/>
    <tableColumn id="21" xr3:uid="{25D37728-9080-374F-BE89-7A2D32D18751}" name="PENALIZACIÓN" dataDxfId="45" totalsRowDxfId="44" dataCellStyle="Millares"/>
    <tableColumn id="22" xr3:uid="{BEF6BA4A-2CE9-284B-9B1C-9EF32F1FD0BB}" name="PENALIZACIÓN COBRADO" dataDxfId="43" totalsRowDxfId="42" dataCellStyle="Millares"/>
    <tableColumn id="23" xr3:uid="{B8F8647E-5B3E-2B4A-A065-E3A164CDFCCC}" name="PENALIZACIÓN PENDIENTE" totalsRowFunction="sum" dataDxfId="41" totalsRowDxfId="40" dataCellStyle="Millares">
      <calculatedColumnFormula>V3-W3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" dT="2024-08-27T14:14:36.42" personId="{52AC34DD-24F5-0549-8233-F885B7ECFB10}" id="{5944A110-AAF0-D946-B4F8-5F9B98733B04}">
    <text xml:space="preserve">Solicito 4 cambios, mueble  del sofá, quiere el calentador. De agua, concentra. Centro de lavado, salida 220 a la secadora, cambiar abanico y subsanar rajaduras, pidio las mesitas de noche
</text>
  </threadedComment>
  <threadedComment ref="AW7" dT="2024-06-13T15:57:49.45" personId="{52AC34DD-24F5-0549-8233-F885B7ECFB10}" id="{0B53248C-181F-D74B-AD2A-3B393D8E5273}">
    <text>Cliente responde a la notificación que lo pagaría la semana del 15 de junio</text>
  </threadedComment>
  <threadedComment ref="C11" dT="2024-01-11T22:08:11.29" personId="{52AC34DD-24F5-0549-8233-F885B7ECFB10}" id="{C9600D68-1277-BF44-AF05-C1323A463F76}">
    <text>Paquete de muebles $12,000.00</text>
  </threadedComment>
  <threadedComment ref="C18" dT="2024-01-11T22:07:03.43" personId="{52AC34DD-24F5-0549-8233-F885B7ECFB10}" id="{CD5F3F5E-87A3-D942-A91C-BE3760BFA03B}">
    <text xml:space="preserve">PAQUETE MUEBLES CANCELADO 5675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25" dT="2024-11-29T20:12:50.02" personId="{A8318356-CECC-5847-84C0-CF296ACCE5F3}" id="{12420D5D-43BB-3041-80F5-E4705D1DC201}">
    <text>REGALIA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kchong@towerbank.com%20/%20269-6900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Ana.Soto@multibank.com.pa%20/%206607-9679" TargetMode="External"/><Relationship Id="rId1" Type="http://schemas.openxmlformats.org/officeDocument/2006/relationships/hyperlink" Target="mailto:monica.oses@unibank.com.pa%20/%206997-8248" TargetMode="External"/><Relationship Id="rId6" Type="http://schemas.openxmlformats.org/officeDocument/2006/relationships/hyperlink" Target="mailto:ricardo.herrera@pa.scotiabank.com%20/%20%206349-7898" TargetMode="External"/><Relationship Id="rId5" Type="http://schemas.openxmlformats.org/officeDocument/2006/relationships/hyperlink" Target="mailto:alejandro.sanchez@multibank.com.pa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mailto:katherine.martinez@bancoaliado.com%20/%20%206948-4733" TargetMode="Externa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20D5-59B5-7548-857A-70CE2D9725BD}">
  <sheetPr codeName="Hoja1"/>
  <dimension ref="A1:I64"/>
  <sheetViews>
    <sheetView zoomScale="159" workbookViewId="0">
      <selection activeCell="A59" sqref="A59:E59"/>
    </sheetView>
  </sheetViews>
  <sheetFormatPr baseColWidth="10" defaultRowHeight="16"/>
  <cols>
    <col min="1" max="1" width="5.83203125" style="2" customWidth="1"/>
    <col min="2" max="2" width="10.33203125" style="2" customWidth="1"/>
    <col min="3" max="3" width="10.83203125" style="2"/>
    <col min="4" max="4" width="14.6640625" style="2" customWidth="1"/>
    <col min="5" max="5" width="19" style="2" bestFit="1" customWidth="1"/>
    <col min="6" max="6" width="15.83203125" style="2" bestFit="1" customWidth="1"/>
    <col min="7" max="7" width="15.6640625" style="2" bestFit="1" customWidth="1"/>
    <col min="8" max="8" width="10.83203125" style="2"/>
    <col min="9" max="9" width="17.33203125" style="2" customWidth="1"/>
    <col min="10" max="16384" width="10.83203125" style="2"/>
  </cols>
  <sheetData>
    <row r="1" spans="1:9">
      <c r="A1" s="489" t="s">
        <v>203</v>
      </c>
      <c r="B1" s="489"/>
      <c r="C1" s="489"/>
      <c r="D1" s="489"/>
      <c r="E1" s="489"/>
    </row>
    <row r="2" spans="1:9" s="3" customFormat="1">
      <c r="A2" s="278" t="s">
        <v>204</v>
      </c>
      <c r="B2" s="1" t="s">
        <v>205</v>
      </c>
      <c r="C2" s="1" t="s">
        <v>206</v>
      </c>
      <c r="D2" s="1" t="s">
        <v>207</v>
      </c>
      <c r="E2" s="1" t="s">
        <v>208</v>
      </c>
    </row>
    <row r="3" spans="1:9">
      <c r="A3" s="266">
        <v>1</v>
      </c>
      <c r="B3" s="267">
        <v>100</v>
      </c>
      <c r="C3" s="268" t="s">
        <v>108</v>
      </c>
      <c r="D3" s="267">
        <v>101</v>
      </c>
      <c r="E3" s="261">
        <f>'BASE DATOS'!AA48</f>
        <v>220862.25</v>
      </c>
    </row>
    <row r="4" spans="1:9">
      <c r="A4" s="266">
        <v>2</v>
      </c>
      <c r="B4" s="267">
        <v>100</v>
      </c>
      <c r="C4" s="268" t="s">
        <v>109</v>
      </c>
      <c r="D4" s="267">
        <v>102</v>
      </c>
      <c r="E4" s="261">
        <f>'BASE DATOS'!AA49</f>
        <v>182000</v>
      </c>
    </row>
    <row r="5" spans="1:9">
      <c r="A5" s="266">
        <v>3</v>
      </c>
      <c r="B5" s="267">
        <v>100</v>
      </c>
      <c r="C5" s="268" t="s">
        <v>112</v>
      </c>
      <c r="D5" s="267">
        <v>103</v>
      </c>
      <c r="E5" s="261">
        <f>'BASE DATOS'!AA50</f>
        <v>236000</v>
      </c>
    </row>
    <row r="6" spans="1:9">
      <c r="A6" s="266">
        <v>4</v>
      </c>
      <c r="B6" s="267">
        <v>100</v>
      </c>
      <c r="C6" s="268" t="s">
        <v>112</v>
      </c>
      <c r="D6" s="267">
        <v>104</v>
      </c>
      <c r="E6" s="262">
        <f>'BASE DATOS'!AA51</f>
        <v>212650</v>
      </c>
    </row>
    <row r="7" spans="1:9">
      <c r="A7" s="266">
        <v>5</v>
      </c>
      <c r="B7" s="267">
        <v>100</v>
      </c>
      <c r="C7" s="268" t="s">
        <v>112</v>
      </c>
      <c r="D7" s="267">
        <v>105</v>
      </c>
      <c r="E7" s="261">
        <f>'BASE DATOS'!AA52</f>
        <v>250000</v>
      </c>
    </row>
    <row r="8" spans="1:9">
      <c r="A8" s="266">
        <v>6</v>
      </c>
      <c r="B8" s="267">
        <v>100</v>
      </c>
      <c r="C8" s="268" t="s">
        <v>112</v>
      </c>
      <c r="D8" s="267">
        <v>106</v>
      </c>
      <c r="E8" s="264">
        <f>'BASE DATOS'!AA53</f>
        <v>250000</v>
      </c>
    </row>
    <row r="9" spans="1:9">
      <c r="A9" s="266">
        <v>7</v>
      </c>
      <c r="B9" s="267">
        <v>100</v>
      </c>
      <c r="C9" s="268" t="s">
        <v>112</v>
      </c>
      <c r="D9" s="267">
        <v>107</v>
      </c>
      <c r="E9" s="261">
        <f>'BASE DATOS'!AA54</f>
        <v>220000</v>
      </c>
      <c r="H9" s="6" t="s">
        <v>206</v>
      </c>
      <c r="I9" s="6" t="s">
        <v>208</v>
      </c>
    </row>
    <row r="10" spans="1:9">
      <c r="A10" s="266">
        <v>8</v>
      </c>
      <c r="B10" s="267">
        <v>100</v>
      </c>
      <c r="C10" s="268" t="s">
        <v>112</v>
      </c>
      <c r="D10" s="267">
        <v>108</v>
      </c>
      <c r="E10" s="261">
        <f>'BASE DATOS'!AA55</f>
        <v>217000</v>
      </c>
      <c r="H10" s="7" t="s">
        <v>108</v>
      </c>
      <c r="I10" s="8">
        <f>E3+E13+E14+E25+E26+E37+E38+E48+E49+E59</f>
        <v>1834364.44</v>
      </c>
    </row>
    <row r="11" spans="1:9">
      <c r="A11" s="269">
        <v>9</v>
      </c>
      <c r="B11" s="267">
        <v>100</v>
      </c>
      <c r="C11" s="268" t="s">
        <v>112</v>
      </c>
      <c r="D11" s="267">
        <v>109</v>
      </c>
      <c r="E11" s="261">
        <f>'BASE DATOS'!AA56</f>
        <v>221338.98</v>
      </c>
      <c r="H11" s="7" t="s">
        <v>109</v>
      </c>
      <c r="I11" s="8">
        <f>E4+E12+E15+E24+E27+E36+E39+E47+E50+E58</f>
        <v>1581604.44</v>
      </c>
    </row>
    <row r="12" spans="1:9">
      <c r="A12" s="266">
        <v>10</v>
      </c>
      <c r="B12" s="267">
        <v>100</v>
      </c>
      <c r="C12" s="268" t="s">
        <v>109</v>
      </c>
      <c r="D12" s="267">
        <v>110</v>
      </c>
      <c r="E12" s="261">
        <f>'BASE DATOS'!AA57</f>
        <v>204000</v>
      </c>
      <c r="H12" s="7" t="s">
        <v>112</v>
      </c>
      <c r="I12" s="8">
        <f>E5+E6+E7+E8+E9+E10+E11+E16+E17+E18+E19+E20+E21+E22+E23</f>
        <v>3080888.98</v>
      </c>
    </row>
    <row r="13" spans="1:9">
      <c r="A13" s="270">
        <v>11</v>
      </c>
      <c r="B13" s="271">
        <v>100</v>
      </c>
      <c r="C13" s="272" t="s">
        <v>108</v>
      </c>
      <c r="D13" s="271">
        <v>111</v>
      </c>
      <c r="E13" s="277">
        <f>'BASE DATOS'!AA58</f>
        <v>194230.69</v>
      </c>
      <c r="F13" s="4">
        <f>SUM(E3:E13)</f>
        <v>2408081.92</v>
      </c>
      <c r="H13" s="7" t="s">
        <v>110</v>
      </c>
      <c r="I13" s="8">
        <f>E28+E29+E30+E31+E32+E33+E34+E35+E40+E41+E42+E43+E46+E51+E52+E53+E54+E57</f>
        <v>3452877.81</v>
      </c>
    </row>
    <row r="14" spans="1:9">
      <c r="A14" s="266">
        <v>12</v>
      </c>
      <c r="B14" s="267">
        <v>200</v>
      </c>
      <c r="C14" s="268" t="s">
        <v>108</v>
      </c>
      <c r="D14" s="267">
        <v>201</v>
      </c>
      <c r="E14" s="262">
        <f>'BASE DATOS'!AA36</f>
        <v>202000</v>
      </c>
      <c r="H14" s="7" t="s">
        <v>111</v>
      </c>
      <c r="I14" s="8">
        <f>E44+E45+E55+E56</f>
        <v>1097683.5</v>
      </c>
    </row>
    <row r="15" spans="1:9">
      <c r="A15" s="266">
        <v>13</v>
      </c>
      <c r="B15" s="267">
        <v>200</v>
      </c>
      <c r="C15" s="268" t="s">
        <v>109</v>
      </c>
      <c r="D15" s="267">
        <v>202</v>
      </c>
      <c r="E15" s="262">
        <f>'BASE DATOS'!AA37</f>
        <v>137862</v>
      </c>
      <c r="H15" s="6" t="s">
        <v>209</v>
      </c>
      <c r="I15" s="9">
        <f>SUM(I10:I14)</f>
        <v>11047419.17</v>
      </c>
    </row>
    <row r="16" spans="1:9">
      <c r="A16" s="266">
        <v>14</v>
      </c>
      <c r="B16" s="267">
        <v>200</v>
      </c>
      <c r="C16" s="268" t="s">
        <v>112</v>
      </c>
      <c r="D16" s="267">
        <v>203</v>
      </c>
      <c r="E16" s="261">
        <f>'BASE DATOS'!AA38</f>
        <v>179900</v>
      </c>
    </row>
    <row r="17" spans="1:6">
      <c r="A17" s="266">
        <v>15</v>
      </c>
      <c r="B17" s="267">
        <v>200</v>
      </c>
      <c r="C17" s="268" t="s">
        <v>112</v>
      </c>
      <c r="D17" s="267">
        <v>204</v>
      </c>
      <c r="E17" s="261">
        <f>'BASE DATOS'!AA39</f>
        <v>184000</v>
      </c>
    </row>
    <row r="18" spans="1:6">
      <c r="A18" s="266">
        <v>16</v>
      </c>
      <c r="B18" s="267">
        <v>200</v>
      </c>
      <c r="C18" s="268" t="s">
        <v>112</v>
      </c>
      <c r="D18" s="267">
        <v>205</v>
      </c>
      <c r="E18" s="261">
        <f>'BASE DATOS'!AA40</f>
        <v>194000</v>
      </c>
    </row>
    <row r="19" spans="1:6">
      <c r="A19" s="266">
        <v>17</v>
      </c>
      <c r="B19" s="267">
        <v>200</v>
      </c>
      <c r="C19" s="268" t="s">
        <v>112</v>
      </c>
      <c r="D19" s="267">
        <v>206</v>
      </c>
      <c r="E19" s="261">
        <f>'BASE DATOS'!AA41</f>
        <v>204000</v>
      </c>
    </row>
    <row r="20" spans="1:6">
      <c r="A20" s="266">
        <v>18</v>
      </c>
      <c r="B20" s="267">
        <v>200</v>
      </c>
      <c r="C20" s="268" t="s">
        <v>112</v>
      </c>
      <c r="D20" s="267">
        <v>207</v>
      </c>
      <c r="E20" s="261">
        <f>'BASE DATOS'!AA42</f>
        <v>201000</v>
      </c>
    </row>
    <row r="21" spans="1:6">
      <c r="A21" s="266">
        <v>19</v>
      </c>
      <c r="B21" s="267">
        <v>200</v>
      </c>
      <c r="C21" s="268" t="s">
        <v>112</v>
      </c>
      <c r="D21" s="267">
        <v>208</v>
      </c>
      <c r="E21" s="261">
        <f>'BASE DATOS'!AA43</f>
        <v>201000</v>
      </c>
    </row>
    <row r="22" spans="1:6">
      <c r="A22" s="266">
        <v>20</v>
      </c>
      <c r="B22" s="267">
        <v>200</v>
      </c>
      <c r="C22" s="268" t="s">
        <v>112</v>
      </c>
      <c r="D22" s="267">
        <v>209</v>
      </c>
      <c r="E22" s="261">
        <f>'BASE DATOS'!AA44</f>
        <v>130000</v>
      </c>
    </row>
    <row r="23" spans="1:6">
      <c r="A23" s="266">
        <v>21</v>
      </c>
      <c r="B23" s="267">
        <v>200</v>
      </c>
      <c r="C23" s="268" t="s">
        <v>112</v>
      </c>
      <c r="D23" s="267">
        <v>210</v>
      </c>
      <c r="E23" s="261">
        <f>'BASE DATOS'!AA45</f>
        <v>180000</v>
      </c>
    </row>
    <row r="24" spans="1:6">
      <c r="A24" s="266">
        <v>22</v>
      </c>
      <c r="B24" s="267">
        <v>200</v>
      </c>
      <c r="C24" s="268" t="s">
        <v>109</v>
      </c>
      <c r="D24" s="267">
        <v>211</v>
      </c>
      <c r="E24" s="264">
        <f>'BASE DATOS'!AA46</f>
        <v>143389.44</v>
      </c>
    </row>
    <row r="25" spans="1:6">
      <c r="A25" s="270">
        <v>23</v>
      </c>
      <c r="B25" s="271">
        <v>200</v>
      </c>
      <c r="C25" s="272" t="s">
        <v>108</v>
      </c>
      <c r="D25" s="267">
        <v>212</v>
      </c>
      <c r="E25" s="265">
        <f>'BASE DATOS'!AA47</f>
        <v>185000</v>
      </c>
      <c r="F25" s="4">
        <f>SUM(E14:E25)</f>
        <v>2142151.44</v>
      </c>
    </row>
    <row r="26" spans="1:6">
      <c r="A26" s="273">
        <v>24</v>
      </c>
      <c r="B26" s="274">
        <v>300</v>
      </c>
      <c r="C26" s="268" t="s">
        <v>108</v>
      </c>
      <c r="D26" s="274">
        <v>301</v>
      </c>
      <c r="E26" s="262">
        <f>'BASE DATOS'!AA24</f>
        <v>202000</v>
      </c>
    </row>
    <row r="27" spans="1:6">
      <c r="A27" s="266">
        <v>25</v>
      </c>
      <c r="B27" s="267">
        <v>300</v>
      </c>
      <c r="C27" s="268" t="s">
        <v>109</v>
      </c>
      <c r="D27" s="267">
        <v>302</v>
      </c>
      <c r="E27" s="264">
        <f>'BASE DATOS'!AA25</f>
        <v>145000</v>
      </c>
    </row>
    <row r="28" spans="1:6">
      <c r="A28" s="266">
        <v>26</v>
      </c>
      <c r="B28" s="267">
        <v>300</v>
      </c>
      <c r="C28" s="268" t="s">
        <v>110</v>
      </c>
      <c r="D28" s="267">
        <v>303</v>
      </c>
      <c r="E28" s="264">
        <f>'BASE DATOS'!AA26</f>
        <v>187000</v>
      </c>
    </row>
    <row r="29" spans="1:6">
      <c r="A29" s="266">
        <v>27</v>
      </c>
      <c r="B29" s="267">
        <v>300</v>
      </c>
      <c r="C29" s="268" t="s">
        <v>110</v>
      </c>
      <c r="D29" s="267">
        <v>304</v>
      </c>
      <c r="E29" s="261">
        <f>'BASE DATOS'!AA27</f>
        <v>183000</v>
      </c>
    </row>
    <row r="30" spans="1:6">
      <c r="A30" s="266">
        <v>28</v>
      </c>
      <c r="B30" s="267">
        <v>300</v>
      </c>
      <c r="C30" s="268" t="s">
        <v>110</v>
      </c>
      <c r="D30" s="267">
        <v>305</v>
      </c>
      <c r="E30" s="261">
        <f>'BASE DATOS'!AA28</f>
        <v>187976.82</v>
      </c>
    </row>
    <row r="31" spans="1:6">
      <c r="A31" s="266">
        <v>29</v>
      </c>
      <c r="B31" s="267">
        <v>300</v>
      </c>
      <c r="C31" s="268" t="s">
        <v>110</v>
      </c>
      <c r="D31" s="267">
        <v>306</v>
      </c>
      <c r="E31" s="264">
        <f>'BASE DATOS'!AA29</f>
        <v>198850</v>
      </c>
    </row>
    <row r="32" spans="1:6">
      <c r="A32" s="266">
        <v>30</v>
      </c>
      <c r="B32" s="267">
        <v>300</v>
      </c>
      <c r="C32" s="268" t="s">
        <v>110</v>
      </c>
      <c r="D32" s="267">
        <v>307</v>
      </c>
      <c r="E32" s="264">
        <f>'BASE DATOS'!AA30</f>
        <v>187000</v>
      </c>
    </row>
    <row r="33" spans="1:6">
      <c r="A33" s="266">
        <v>31</v>
      </c>
      <c r="B33" s="267">
        <v>300</v>
      </c>
      <c r="C33" s="268" t="s">
        <v>110</v>
      </c>
      <c r="D33" s="267">
        <v>308</v>
      </c>
      <c r="E33" s="262">
        <f>'BASE DATOS'!AA31</f>
        <v>185000</v>
      </c>
    </row>
    <row r="34" spans="1:6">
      <c r="A34" s="266">
        <v>32</v>
      </c>
      <c r="B34" s="267">
        <v>300</v>
      </c>
      <c r="C34" s="268" t="s">
        <v>110</v>
      </c>
      <c r="D34" s="267">
        <v>309</v>
      </c>
      <c r="E34" s="262">
        <f>'BASE DATOS'!AA32</f>
        <v>180000</v>
      </c>
    </row>
    <row r="35" spans="1:6">
      <c r="A35" s="266">
        <v>33</v>
      </c>
      <c r="B35" s="267">
        <v>300</v>
      </c>
      <c r="C35" s="268" t="s">
        <v>110</v>
      </c>
      <c r="D35" s="267">
        <v>310</v>
      </c>
      <c r="E35" s="264">
        <f>'BASE DATOS'!AA33</f>
        <v>185000</v>
      </c>
    </row>
    <row r="36" spans="1:6">
      <c r="A36" s="266">
        <v>34</v>
      </c>
      <c r="B36" s="267">
        <v>300</v>
      </c>
      <c r="C36" s="268" t="s">
        <v>109</v>
      </c>
      <c r="D36" s="267">
        <v>311</v>
      </c>
      <c r="E36" s="264">
        <f>'BASE DATOS'!AA34</f>
        <v>150000</v>
      </c>
    </row>
    <row r="37" spans="1:6">
      <c r="A37" s="270">
        <v>35</v>
      </c>
      <c r="B37" s="271">
        <v>300</v>
      </c>
      <c r="C37" s="272" t="s">
        <v>108</v>
      </c>
      <c r="D37" s="271">
        <v>312</v>
      </c>
      <c r="E37" s="263">
        <f>'BASE DATOS'!AA35</f>
        <v>172500</v>
      </c>
      <c r="F37" s="4">
        <f>SUM(E26:E37)</f>
        <v>2163326.8200000003</v>
      </c>
    </row>
    <row r="38" spans="1:6">
      <c r="A38" s="273">
        <v>36</v>
      </c>
      <c r="B38" s="274">
        <v>400</v>
      </c>
      <c r="C38" s="268" t="s">
        <v>108</v>
      </c>
      <c r="D38" s="267">
        <v>401</v>
      </c>
      <c r="E38" s="262">
        <f>'BASE DATOS'!AA13</f>
        <v>160000.00000000003</v>
      </c>
    </row>
    <row r="39" spans="1:6">
      <c r="A39" s="266">
        <v>37</v>
      </c>
      <c r="B39" s="267">
        <v>400</v>
      </c>
      <c r="C39" s="268" t="s">
        <v>109</v>
      </c>
      <c r="D39" s="267">
        <v>402</v>
      </c>
      <c r="E39" s="262">
        <f>'BASE DATOS'!AA14</f>
        <v>152500</v>
      </c>
    </row>
    <row r="40" spans="1:6">
      <c r="A40" s="266">
        <v>38</v>
      </c>
      <c r="B40" s="267">
        <v>400</v>
      </c>
      <c r="C40" s="268" t="s">
        <v>110</v>
      </c>
      <c r="D40" s="267">
        <v>403</v>
      </c>
      <c r="E40" s="264">
        <f>'BASE DATOS'!AA15</f>
        <v>185270</v>
      </c>
    </row>
    <row r="41" spans="1:6">
      <c r="A41" s="266">
        <v>39</v>
      </c>
      <c r="B41" s="267">
        <v>400</v>
      </c>
      <c r="C41" s="268" t="s">
        <v>110</v>
      </c>
      <c r="D41" s="267">
        <v>404</v>
      </c>
      <c r="E41" s="261">
        <f>'BASE DATOS'!AA16</f>
        <v>191892.6</v>
      </c>
    </row>
    <row r="42" spans="1:6">
      <c r="A42" s="266">
        <v>40</v>
      </c>
      <c r="B42" s="267">
        <v>400</v>
      </c>
      <c r="C42" s="268" t="s">
        <v>110</v>
      </c>
      <c r="D42" s="267">
        <v>405</v>
      </c>
      <c r="E42" s="264">
        <f>'BASE DATOS'!AA17</f>
        <v>180000</v>
      </c>
    </row>
    <row r="43" spans="1:6">
      <c r="A43" s="266">
        <v>41</v>
      </c>
      <c r="B43" s="267">
        <v>400</v>
      </c>
      <c r="C43" s="268" t="s">
        <v>110</v>
      </c>
      <c r="D43" s="267">
        <v>406</v>
      </c>
      <c r="E43" s="262">
        <f>'BASE DATOS'!AA18</f>
        <v>205422.3</v>
      </c>
    </row>
    <row r="44" spans="1:6">
      <c r="A44" s="266">
        <v>42</v>
      </c>
      <c r="B44" s="267">
        <v>400</v>
      </c>
      <c r="C44" s="268" t="s">
        <v>111</v>
      </c>
      <c r="D44" s="267">
        <v>407</v>
      </c>
      <c r="E44" s="264">
        <f>'BASE DATOS'!AA19</f>
        <v>299000</v>
      </c>
    </row>
    <row r="45" spans="1:6">
      <c r="A45" s="266">
        <v>43</v>
      </c>
      <c r="B45" s="267">
        <v>400</v>
      </c>
      <c r="C45" s="268" t="s">
        <v>111</v>
      </c>
      <c r="D45" s="267">
        <v>408</v>
      </c>
      <c r="E45" s="264">
        <f>'BASE DATOS'!AA20</f>
        <v>250000</v>
      </c>
    </row>
    <row r="46" spans="1:6">
      <c r="A46" s="266">
        <v>44</v>
      </c>
      <c r="B46" s="267">
        <v>400</v>
      </c>
      <c r="C46" s="268" t="s">
        <v>110</v>
      </c>
      <c r="D46" s="267">
        <v>409</v>
      </c>
      <c r="E46" s="264">
        <f>'BASE DATOS'!AA21</f>
        <v>205000</v>
      </c>
    </row>
    <row r="47" spans="1:6">
      <c r="A47" s="266">
        <v>45</v>
      </c>
      <c r="B47" s="267">
        <v>400</v>
      </c>
      <c r="C47" s="268" t="s">
        <v>109</v>
      </c>
      <c r="D47" s="267">
        <v>410</v>
      </c>
      <c r="E47" s="262">
        <f>'BASE DATOS'!AA22</f>
        <v>146853</v>
      </c>
    </row>
    <row r="48" spans="1:6">
      <c r="A48" s="270">
        <v>46</v>
      </c>
      <c r="B48" s="271">
        <v>400</v>
      </c>
      <c r="C48" s="272" t="s">
        <v>108</v>
      </c>
      <c r="D48" s="267">
        <v>411</v>
      </c>
      <c r="E48" s="263">
        <f>'BASE DATOS'!AA23</f>
        <v>161528.50000000003</v>
      </c>
      <c r="F48" s="4">
        <f>SUM(E38:E48)</f>
        <v>2137466.4</v>
      </c>
    </row>
    <row r="49" spans="1:7">
      <c r="A49" s="273">
        <v>47</v>
      </c>
      <c r="B49" s="274">
        <v>500</v>
      </c>
      <c r="C49" s="268" t="s">
        <v>108</v>
      </c>
      <c r="D49" s="275" t="s">
        <v>210</v>
      </c>
      <c r="E49" s="262">
        <f>'BASE DATOS'!AA2</f>
        <v>168121.50000000003</v>
      </c>
    </row>
    <row r="50" spans="1:7">
      <c r="A50" s="266">
        <v>48</v>
      </c>
      <c r="B50" s="267">
        <v>500</v>
      </c>
      <c r="C50" s="268" t="s">
        <v>109</v>
      </c>
      <c r="D50" s="276" t="s">
        <v>211</v>
      </c>
      <c r="E50" s="262">
        <f>'BASE DATOS'!AA3</f>
        <v>170000</v>
      </c>
    </row>
    <row r="51" spans="1:7">
      <c r="A51" s="266">
        <v>49</v>
      </c>
      <c r="B51" s="267">
        <v>500</v>
      </c>
      <c r="C51" s="268" t="s">
        <v>110</v>
      </c>
      <c r="D51" s="276" t="s">
        <v>212</v>
      </c>
      <c r="E51" s="262">
        <f>'BASE DATOS'!AA4</f>
        <v>205107.09</v>
      </c>
    </row>
    <row r="52" spans="1:7">
      <c r="A52" s="266">
        <v>50</v>
      </c>
      <c r="B52" s="267">
        <v>500</v>
      </c>
      <c r="C52" s="268" t="s">
        <v>110</v>
      </c>
      <c r="D52" s="276" t="s">
        <v>213</v>
      </c>
      <c r="E52" s="264">
        <f>'BASE DATOS'!AA5</f>
        <v>204500</v>
      </c>
    </row>
    <row r="53" spans="1:7">
      <c r="A53" s="266">
        <v>51</v>
      </c>
      <c r="B53" s="267">
        <v>500</v>
      </c>
      <c r="C53" s="268" t="s">
        <v>110</v>
      </c>
      <c r="D53" s="276" t="s">
        <v>214</v>
      </c>
      <c r="E53" s="262">
        <f>'BASE DATOS'!AA6</f>
        <v>186379.5</v>
      </c>
    </row>
    <row r="54" spans="1:7">
      <c r="A54" s="266">
        <v>52</v>
      </c>
      <c r="B54" s="267">
        <v>500</v>
      </c>
      <c r="C54" s="268" t="s">
        <v>110</v>
      </c>
      <c r="D54" s="276" t="s">
        <v>215</v>
      </c>
      <c r="E54" s="264">
        <f>'BASE DATOS'!AA7</f>
        <v>209100</v>
      </c>
    </row>
    <row r="55" spans="1:7">
      <c r="A55" s="266">
        <v>53</v>
      </c>
      <c r="B55" s="267">
        <v>500</v>
      </c>
      <c r="C55" s="268" t="s">
        <v>111</v>
      </c>
      <c r="D55" s="276" t="s">
        <v>216</v>
      </c>
      <c r="E55" s="262">
        <f>'BASE DATOS'!AA8</f>
        <v>270000</v>
      </c>
    </row>
    <row r="56" spans="1:7">
      <c r="A56" s="266">
        <v>54</v>
      </c>
      <c r="B56" s="267">
        <v>500</v>
      </c>
      <c r="C56" s="268" t="s">
        <v>111</v>
      </c>
      <c r="D56" s="276" t="s">
        <v>217</v>
      </c>
      <c r="E56" s="262">
        <f>'BASE DATOS'!AA9</f>
        <v>278683.5</v>
      </c>
    </row>
    <row r="57" spans="1:7">
      <c r="A57" s="266">
        <v>55</v>
      </c>
      <c r="B57" s="267">
        <v>500</v>
      </c>
      <c r="C57" s="268" t="s">
        <v>110</v>
      </c>
      <c r="D57" s="276" t="s">
        <v>218</v>
      </c>
      <c r="E57" s="262">
        <f>'BASE DATOS'!AA10</f>
        <v>186379.5</v>
      </c>
    </row>
    <row r="58" spans="1:7">
      <c r="A58" s="266">
        <v>56</v>
      </c>
      <c r="B58" s="267">
        <v>500</v>
      </c>
      <c r="C58" s="268" t="s">
        <v>109</v>
      </c>
      <c r="D58" s="276" t="s">
        <v>219</v>
      </c>
      <c r="E58" s="262">
        <f>'BASE DATOS'!AA11</f>
        <v>150000</v>
      </c>
    </row>
    <row r="59" spans="1:7">
      <c r="A59" s="270">
        <v>57</v>
      </c>
      <c r="B59" s="271">
        <v>500</v>
      </c>
      <c r="C59" s="268" t="s">
        <v>108</v>
      </c>
      <c r="D59" s="276" t="s">
        <v>220</v>
      </c>
      <c r="E59" s="263">
        <f>'BASE DATOS'!AA12</f>
        <v>168121.50000000003</v>
      </c>
      <c r="F59" s="4">
        <f>SUM(E49:E59)</f>
        <v>2196392.59</v>
      </c>
    </row>
    <row r="60" spans="1:7">
      <c r="A60" s="10" t="s">
        <v>209</v>
      </c>
      <c r="B60" s="11"/>
      <c r="C60" s="11"/>
      <c r="D60" s="11"/>
      <c r="E60" s="208">
        <f>SUM(E3:E59)</f>
        <v>11047419.17</v>
      </c>
    </row>
    <row r="61" spans="1:7">
      <c r="E61" s="12">
        <v>10867180</v>
      </c>
      <c r="G61" s="5">
        <f>E15+E24+E26+E27+E37+E38+E39+E43+E44+E45+E46+E47+E48+E49+E51+E53+E54+E55+E56+E57+E58+E59</f>
        <v>4202947.83</v>
      </c>
    </row>
    <row r="62" spans="1:7">
      <c r="E62" s="13">
        <f>E61-E60</f>
        <v>-180239.16999999993</v>
      </c>
    </row>
    <row r="64" spans="1:7">
      <c r="E64" s="2">
        <f>151135-145000</f>
        <v>6135</v>
      </c>
    </row>
  </sheetData>
  <mergeCells count="1">
    <mergeCell ref="A1:E1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489F-8A9C-A34F-AD4D-D72FACC21EE8}">
  <sheetPr codeName="Hoja2">
    <pageSetUpPr fitToPage="1"/>
  </sheetPr>
  <dimension ref="A1:CU99"/>
  <sheetViews>
    <sheetView tabSelected="1" zoomScaleNormal="100" workbookViewId="0">
      <pane xSplit="4" ySplit="1" topLeftCell="Y51" activePane="bottomRight" state="frozen"/>
      <selection pane="topRight" activeCell="E1" sqref="E1"/>
      <selection pane="bottomLeft" activeCell="A2" sqref="A2"/>
      <selection pane="bottomRight" activeCell="C57" sqref="C57"/>
    </sheetView>
  </sheetViews>
  <sheetFormatPr baseColWidth="10" defaultRowHeight="16"/>
  <cols>
    <col min="1" max="2" width="10" style="54" customWidth="1"/>
    <col min="3" max="3" width="30" style="54" customWidth="1"/>
    <col min="4" max="4" width="15" style="54" customWidth="1"/>
    <col min="5" max="6" width="15" style="152" customWidth="1"/>
    <col min="7" max="7" width="15" style="54" customWidth="1"/>
    <col min="8" max="8" width="16.6640625" style="152" customWidth="1"/>
    <col min="9" max="9" width="16" style="54" customWidth="1"/>
    <col min="10" max="10" width="26" style="54" customWidth="1"/>
    <col min="11" max="11" width="15" style="472" customWidth="1"/>
    <col min="12" max="12" width="15" style="195" customWidth="1"/>
    <col min="13" max="13" width="28.33203125" style="54" customWidth="1"/>
    <col min="14" max="14" width="16.6640625" style="54" customWidth="1"/>
    <col min="15" max="28" width="15" style="54" customWidth="1"/>
    <col min="29" max="31" width="15" customWidth="1"/>
    <col min="32" max="33" width="15" style="464" customWidth="1"/>
    <col min="34" max="34" width="15" style="199" customWidth="1"/>
    <col min="35" max="35" width="18.33203125" style="54" customWidth="1"/>
    <col min="36" max="36" width="15" style="152" customWidth="1"/>
    <col min="37" max="37" width="25" style="54" customWidth="1"/>
    <col min="38" max="40" width="15" style="54" customWidth="1"/>
    <col min="41" max="41" width="33.33203125" style="152" customWidth="1"/>
    <col min="42" max="42" width="15" style="197" customWidth="1"/>
    <col min="43" max="43" width="26.6640625" style="54" customWidth="1"/>
    <col min="44" max="44" width="15" style="54" customWidth="1"/>
    <col min="45" max="45" width="15" style="198" customWidth="1"/>
    <col min="46" max="46" width="15" style="196" customWidth="1"/>
    <col min="47" max="47" width="15" style="198" customWidth="1"/>
    <col min="48" max="50" width="15" style="207" customWidth="1"/>
    <col min="51" max="51" width="47" style="207" customWidth="1"/>
    <col min="52" max="54" width="15" style="207" customWidth="1"/>
    <col min="55" max="55" width="15.83203125" style="207" customWidth="1"/>
    <col min="56" max="56" width="15" style="199" customWidth="1"/>
    <col min="57" max="57" width="15.83203125" style="199" customWidth="1"/>
    <col min="58" max="58" width="15" style="53" customWidth="1"/>
    <col min="59" max="59" width="15" style="152" customWidth="1"/>
    <col min="60" max="60" width="15" style="198" customWidth="1"/>
    <col min="61" max="61" width="15" style="202" customWidth="1"/>
    <col min="62" max="62" width="15" style="198" customWidth="1"/>
    <col min="63" max="63" width="15" style="152" customWidth="1"/>
    <col min="64" max="64" width="15" style="199" customWidth="1"/>
    <col min="65" max="65" width="15" style="54" customWidth="1"/>
    <col min="66" max="67" width="15" style="152" customWidth="1"/>
    <col min="68" max="68" width="15.33203125" style="152" customWidth="1"/>
    <col min="69" max="70" width="15" style="152" customWidth="1"/>
    <col min="71" max="71" width="15" style="199" customWidth="1"/>
    <col min="72" max="76" width="15" style="152" customWidth="1"/>
    <col min="77" max="80" width="15" style="199" customWidth="1"/>
    <col min="81" max="85" width="15" style="152" customWidth="1"/>
    <col min="86" max="86" width="14" style="152" customWidth="1"/>
    <col min="87" max="87" width="15.1640625" style="152" customWidth="1"/>
    <col min="88" max="88" width="16.83203125" style="152" customWidth="1"/>
    <col min="89" max="89" width="15.83203125" style="152" customWidth="1"/>
    <col min="90" max="90" width="17.6640625" style="152" customWidth="1"/>
    <col min="91" max="91" width="14.6640625" style="199" customWidth="1"/>
    <col min="92" max="92" width="15.5" style="152" customWidth="1"/>
    <col min="93" max="93" width="14.6640625" style="152" customWidth="1"/>
    <col min="94" max="94" width="12.33203125" style="152" customWidth="1"/>
    <col min="95" max="95" width="13.83203125" style="198" customWidth="1"/>
    <col min="96" max="96" width="20.1640625" style="198" customWidth="1"/>
    <col min="97" max="97" width="20" style="200" customWidth="1"/>
    <col min="98" max="98" width="19.5" style="152" customWidth="1"/>
    <col min="99" max="99" width="17.1640625" style="152" customWidth="1"/>
    <col min="100" max="16384" width="10.83203125" style="54"/>
  </cols>
  <sheetData>
    <row r="1" spans="1:99" ht="69" customHeight="1" thickBot="1">
      <c r="A1" s="227" t="s">
        <v>435</v>
      </c>
      <c r="B1" s="29" t="s">
        <v>124</v>
      </c>
      <c r="C1" s="30" t="s">
        <v>0</v>
      </c>
      <c r="D1" s="31" t="s">
        <v>113</v>
      </c>
      <c r="E1" s="32" t="s">
        <v>227</v>
      </c>
      <c r="F1" s="30" t="s">
        <v>92</v>
      </c>
      <c r="G1" s="33" t="s">
        <v>94</v>
      </c>
      <c r="H1" s="34" t="s">
        <v>128</v>
      </c>
      <c r="I1" s="34" t="s">
        <v>319</v>
      </c>
      <c r="J1" s="34" t="s">
        <v>340</v>
      </c>
      <c r="K1" s="35" t="s">
        <v>93</v>
      </c>
      <c r="L1" s="36" t="s">
        <v>97</v>
      </c>
      <c r="M1" s="36" t="s">
        <v>95</v>
      </c>
      <c r="N1" s="37" t="s">
        <v>96</v>
      </c>
      <c r="O1" s="38" t="s">
        <v>221</v>
      </c>
      <c r="P1" s="38" t="s">
        <v>282</v>
      </c>
      <c r="Q1" s="38" t="s">
        <v>222</v>
      </c>
      <c r="R1" s="38" t="s">
        <v>223</v>
      </c>
      <c r="S1" s="39" t="s">
        <v>98</v>
      </c>
      <c r="T1" s="40" t="s">
        <v>99</v>
      </c>
      <c r="U1" s="40" t="s">
        <v>100</v>
      </c>
      <c r="V1" s="41" t="s">
        <v>101</v>
      </c>
      <c r="W1" s="41" t="s">
        <v>102</v>
      </c>
      <c r="X1" s="42" t="s">
        <v>103</v>
      </c>
      <c r="Y1" s="42" t="s">
        <v>104</v>
      </c>
      <c r="Z1" s="42" t="s">
        <v>105</v>
      </c>
      <c r="AA1" s="42" t="s">
        <v>106</v>
      </c>
      <c r="AB1" s="42" t="s">
        <v>107</v>
      </c>
      <c r="AC1" s="302" t="s">
        <v>476</v>
      </c>
      <c r="AD1" s="302" t="s">
        <v>436</v>
      </c>
      <c r="AE1" s="310" t="s">
        <v>477</v>
      </c>
      <c r="AF1" s="310" t="s">
        <v>478</v>
      </c>
      <c r="AG1" s="310" t="s">
        <v>228</v>
      </c>
      <c r="AH1" s="311" t="s">
        <v>224</v>
      </c>
      <c r="AI1" s="43" t="s">
        <v>120</v>
      </c>
      <c r="AJ1" s="44" t="s">
        <v>123</v>
      </c>
      <c r="AK1" s="44" t="s">
        <v>260</v>
      </c>
      <c r="AL1" s="44" t="s">
        <v>329</v>
      </c>
      <c r="AM1" s="45" t="s">
        <v>118</v>
      </c>
      <c r="AN1" s="45" t="s">
        <v>119</v>
      </c>
      <c r="AO1" s="43" t="s">
        <v>268</v>
      </c>
      <c r="AP1" s="286" t="s">
        <v>419</v>
      </c>
      <c r="AQ1" s="42" t="s">
        <v>266</v>
      </c>
      <c r="AR1" s="284" t="s">
        <v>115</v>
      </c>
      <c r="AS1" s="41" t="s">
        <v>114</v>
      </c>
      <c r="AT1" s="46" t="s">
        <v>225</v>
      </c>
      <c r="AU1" s="47" t="s">
        <v>226</v>
      </c>
      <c r="AV1" s="48" t="s">
        <v>323</v>
      </c>
      <c r="AW1" s="48" t="s">
        <v>434</v>
      </c>
      <c r="AX1" s="47" t="s">
        <v>324</v>
      </c>
      <c r="AY1" s="49" t="s">
        <v>246</v>
      </c>
      <c r="AZ1" s="206" t="s">
        <v>245</v>
      </c>
      <c r="BA1" s="49" t="s">
        <v>229</v>
      </c>
      <c r="BB1" s="49" t="s">
        <v>289</v>
      </c>
      <c r="BC1" s="49" t="s">
        <v>352</v>
      </c>
      <c r="BD1" s="49" t="s">
        <v>230</v>
      </c>
      <c r="BE1" s="50" t="s">
        <v>290</v>
      </c>
      <c r="BF1" s="49" t="s">
        <v>231</v>
      </c>
      <c r="BG1" s="50" t="s">
        <v>232</v>
      </c>
      <c r="BH1" s="50" t="s">
        <v>297</v>
      </c>
      <c r="BI1" s="50" t="s">
        <v>299</v>
      </c>
      <c r="BJ1" s="50" t="s">
        <v>298</v>
      </c>
      <c r="BK1" s="51" t="s">
        <v>233</v>
      </c>
      <c r="BL1" s="52" t="s">
        <v>236</v>
      </c>
      <c r="BM1" s="51" t="s">
        <v>273</v>
      </c>
      <c r="BN1" s="52" t="s">
        <v>237</v>
      </c>
      <c r="BO1" s="52" t="s">
        <v>238</v>
      </c>
      <c r="BP1" s="52" t="s">
        <v>351</v>
      </c>
      <c r="BQ1" s="52" t="s">
        <v>239</v>
      </c>
      <c r="BR1" s="52" t="s">
        <v>254</v>
      </c>
      <c r="BS1" s="52" t="s">
        <v>255</v>
      </c>
      <c r="BT1" s="52" t="s">
        <v>256</v>
      </c>
      <c r="BU1" s="52" t="s">
        <v>240</v>
      </c>
      <c r="BV1" s="396" t="s">
        <v>234</v>
      </c>
      <c r="BW1" s="396" t="s">
        <v>235</v>
      </c>
      <c r="BX1" s="52" t="s">
        <v>241</v>
      </c>
      <c r="BY1" s="52" t="s">
        <v>242</v>
      </c>
      <c r="BZ1" s="52" t="s">
        <v>243</v>
      </c>
      <c r="CA1" s="52" t="s">
        <v>288</v>
      </c>
      <c r="CB1" s="52" t="s">
        <v>244</v>
      </c>
      <c r="CC1" s="46" t="s">
        <v>381</v>
      </c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</row>
    <row r="2" spans="1:99" ht="35" customHeight="1">
      <c r="A2" s="485" t="s">
        <v>3</v>
      </c>
      <c r="B2" s="96" t="s">
        <v>385</v>
      </c>
      <c r="C2" s="73" t="s">
        <v>1</v>
      </c>
      <c r="D2" s="97" t="s">
        <v>327</v>
      </c>
      <c r="E2" s="223" t="s">
        <v>465</v>
      </c>
      <c r="F2" s="319">
        <v>44986</v>
      </c>
      <c r="G2" s="73" t="s">
        <v>2</v>
      </c>
      <c r="H2" s="73" t="s">
        <v>249</v>
      </c>
      <c r="I2" s="73" t="s">
        <v>320</v>
      </c>
      <c r="J2" s="73" t="s">
        <v>373</v>
      </c>
      <c r="K2" s="74">
        <v>25351</v>
      </c>
      <c r="L2" s="73" t="s">
        <v>251</v>
      </c>
      <c r="M2" s="73" t="s">
        <v>314</v>
      </c>
      <c r="N2" s="73" t="s">
        <v>250</v>
      </c>
      <c r="O2" s="73" t="s">
        <v>151</v>
      </c>
      <c r="P2" s="73" t="s">
        <v>151</v>
      </c>
      <c r="Q2" s="73" t="s">
        <v>283</v>
      </c>
      <c r="R2" s="315"/>
      <c r="S2" s="73" t="s">
        <v>108</v>
      </c>
      <c r="T2" s="73">
        <v>65.930000000000007</v>
      </c>
      <c r="U2" s="98">
        <v>0</v>
      </c>
      <c r="V2" s="99">
        <f t="shared" ref="V2:V33" si="0">U2+T2</f>
        <v>65.930000000000007</v>
      </c>
      <c r="W2" s="79"/>
      <c r="X2" s="79">
        <f>AB2*T2</f>
        <v>168121.50000000003</v>
      </c>
      <c r="Y2" s="79"/>
      <c r="Z2" s="79"/>
      <c r="AA2" s="88">
        <f>X2+W2+Y2+Z2</f>
        <v>168121.50000000003</v>
      </c>
      <c r="AB2" s="88">
        <v>2550</v>
      </c>
      <c r="AC2" s="104">
        <f t="shared" ref="AC2:AC33" si="1">((AD2*1)/AA2)</f>
        <v>0.99999999999999978</v>
      </c>
      <c r="AD2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168121.5</v>
      </c>
      <c r="AE2" s="85">
        <f>Tabla4[[#This Row],[VALOR TOTAL]]-Tabla4[[#This Row],[MONTO A MULTIBANK]]</f>
        <v>50461.450000000026</v>
      </c>
      <c r="AF2" s="79">
        <v>117660.05</v>
      </c>
      <c r="AG2" s="79">
        <f>ABONOS!E3</f>
        <v>0</v>
      </c>
      <c r="AH2" s="346" t="str" cm="1">
        <f t="array" ref="AH2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2" s="347" t="s">
        <v>253</v>
      </c>
      <c r="AJ2" s="84" t="s">
        <v>253</v>
      </c>
      <c r="AK2" s="84" t="s">
        <v>253</v>
      </c>
      <c r="AL2" s="84" t="s">
        <v>253</v>
      </c>
      <c r="AM2" s="84" t="s">
        <v>253</v>
      </c>
      <c r="AN2" s="84" t="s">
        <v>253</v>
      </c>
      <c r="AO2" s="84" t="s">
        <v>253</v>
      </c>
      <c r="AP2" s="84" t="s">
        <v>253</v>
      </c>
      <c r="AQ2" s="88" t="s">
        <v>116</v>
      </c>
      <c r="AR2" s="86">
        <v>45073</v>
      </c>
      <c r="AS2" s="79">
        <f t="shared" ref="AS2:AS15" si="2">AA2</f>
        <v>168121.50000000003</v>
      </c>
      <c r="AT2" s="101">
        <v>30474571</v>
      </c>
      <c r="AU2" s="88" t="s">
        <v>252</v>
      </c>
      <c r="AV2" s="88">
        <v>1600</v>
      </c>
      <c r="AW2" s="88">
        <f>ABONOS!O3</f>
        <v>0</v>
      </c>
      <c r="AX2" s="346" t="str" cm="1">
        <f t="array" ref="AX2">_xlfn.IFS(Tabla4[[#This Row],[MONTO5]]=0,"",Tabla4[[#This Row],[SALDO PENDIENTE3]]=0,"PAZ Y SALVO",Tabla4[[#This Row],[SALDO PENDIENTE3]]&gt;0,"PENDIENTE")</f>
        <v>PAZ Y SALVO</v>
      </c>
      <c r="AY2" s="253" t="s">
        <v>334</v>
      </c>
      <c r="AZ2" s="86">
        <v>45428</v>
      </c>
      <c r="BA2" s="100" t="s">
        <v>151</v>
      </c>
      <c r="BB2" s="86">
        <v>45449</v>
      </c>
      <c r="BC2" s="90">
        <f>Tabla4[[#This Row],[FECHA RECIBIDO MINUTA LIBERACION]]-Tabla4[[#This Row],[SOLICITUD DE MINUTA LIBERACIÓN]]</f>
        <v>21</v>
      </c>
      <c r="BD2" s="100" t="s">
        <v>151</v>
      </c>
      <c r="BE2" s="86">
        <v>45440</v>
      </c>
      <c r="BF2" s="100" t="s">
        <v>253</v>
      </c>
      <c r="BG2" s="86" t="s">
        <v>253</v>
      </c>
      <c r="BH2" s="86" t="s">
        <v>253</v>
      </c>
      <c r="BI2" s="86" t="s">
        <v>253</v>
      </c>
      <c r="BJ2" s="91" t="s">
        <v>253</v>
      </c>
      <c r="BK2" s="86">
        <v>45469</v>
      </c>
      <c r="BL2" s="86">
        <v>45480</v>
      </c>
      <c r="BM2" s="86">
        <v>45469</v>
      </c>
      <c r="BN2" s="86">
        <v>45481</v>
      </c>
      <c r="BO2" s="86">
        <v>45485</v>
      </c>
      <c r="BP2" s="90">
        <f>Tabla4[[#This Row],[RECEPCIÓN INTERINO]]-Tabla4[[#This Row],[ENVIO A INTERINO]]</f>
        <v>4</v>
      </c>
      <c r="BQ2" s="86">
        <v>45874</v>
      </c>
      <c r="BR2" s="86">
        <v>45859</v>
      </c>
      <c r="BS2" s="86">
        <v>45874</v>
      </c>
      <c r="BT2" s="86">
        <v>45876</v>
      </c>
      <c r="BU2" s="86" t="s">
        <v>253</v>
      </c>
      <c r="BV2" s="91" t="s">
        <v>151</v>
      </c>
      <c r="BW2" s="86">
        <v>45883</v>
      </c>
      <c r="BX2" s="86">
        <v>45883</v>
      </c>
      <c r="BY2" s="86">
        <v>45883</v>
      </c>
      <c r="BZ2" s="86">
        <v>45909</v>
      </c>
      <c r="CA2" s="86" t="s">
        <v>253</v>
      </c>
      <c r="CB2" s="86" t="s">
        <v>253</v>
      </c>
      <c r="CC2" s="86">
        <v>45377</v>
      </c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</row>
    <row r="3" spans="1:99" ht="35" customHeight="1">
      <c r="A3" s="71" t="s">
        <v>4</v>
      </c>
      <c r="B3" s="219" t="s">
        <v>385</v>
      </c>
      <c r="C3" s="223" t="s">
        <v>400</v>
      </c>
      <c r="D3" s="325" t="s">
        <v>327</v>
      </c>
      <c r="E3" s="223" t="s">
        <v>465</v>
      </c>
      <c r="F3" s="319">
        <v>45505</v>
      </c>
      <c r="G3" s="73">
        <v>571322934</v>
      </c>
      <c r="H3" s="73" t="s">
        <v>249</v>
      </c>
      <c r="I3" s="73" t="s">
        <v>320</v>
      </c>
      <c r="J3" s="73" t="s">
        <v>342</v>
      </c>
      <c r="K3" s="74">
        <v>24967</v>
      </c>
      <c r="L3" s="73" t="s">
        <v>251</v>
      </c>
      <c r="M3" s="73" t="s">
        <v>343</v>
      </c>
      <c r="N3" s="73" t="s">
        <v>250</v>
      </c>
      <c r="O3" s="73" t="s">
        <v>151</v>
      </c>
      <c r="P3" s="73" t="s">
        <v>151</v>
      </c>
      <c r="Q3" s="73" t="s">
        <v>151</v>
      </c>
      <c r="R3" s="73"/>
      <c r="S3" s="73" t="s">
        <v>109</v>
      </c>
      <c r="T3" s="73">
        <v>59.94</v>
      </c>
      <c r="U3" s="98">
        <v>0</v>
      </c>
      <c r="V3" s="99">
        <f t="shared" si="0"/>
        <v>59.94</v>
      </c>
      <c r="W3" s="79"/>
      <c r="X3" s="79">
        <f>AB3*T3</f>
        <v>152847</v>
      </c>
      <c r="Y3" s="79"/>
      <c r="Z3" s="79"/>
      <c r="AA3" s="88">
        <v>170000</v>
      </c>
      <c r="AB3" s="88">
        <v>2550</v>
      </c>
      <c r="AC3" s="104">
        <f t="shared" si="1"/>
        <v>1</v>
      </c>
      <c r="AD3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170000</v>
      </c>
      <c r="AE3" s="85">
        <f>Tabla4[[#This Row],[VALOR TOTAL]]-Tabla4[[#This Row],[MONTO A MULTIBANK]]</f>
        <v>51000.000000000015</v>
      </c>
      <c r="AF3" s="79">
        <f>AA3*70%</f>
        <v>118999.99999999999</v>
      </c>
      <c r="AG3" s="79">
        <f>ABONOS!E4</f>
        <v>0</v>
      </c>
      <c r="AH3" s="300" t="str" cm="1">
        <f t="array" ref="AH3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3" s="84" t="s">
        <v>253</v>
      </c>
      <c r="AJ3" s="84" t="s">
        <v>253</v>
      </c>
      <c r="AK3" s="84" t="s">
        <v>253</v>
      </c>
      <c r="AL3" s="84" t="s">
        <v>253</v>
      </c>
      <c r="AM3" s="84" t="s">
        <v>253</v>
      </c>
      <c r="AN3" s="84" t="s">
        <v>253</v>
      </c>
      <c r="AO3" s="84" t="s">
        <v>253</v>
      </c>
      <c r="AP3" s="84" t="s">
        <v>253</v>
      </c>
      <c r="AQ3" s="78" t="s">
        <v>116</v>
      </c>
      <c r="AR3" s="86">
        <v>45519</v>
      </c>
      <c r="AS3" s="79">
        <f t="shared" si="2"/>
        <v>170000</v>
      </c>
      <c r="AT3" s="101">
        <v>30474570</v>
      </c>
      <c r="AU3" s="100" t="s">
        <v>252</v>
      </c>
      <c r="AV3" s="102">
        <v>1900</v>
      </c>
      <c r="AW3" s="88">
        <f>ABONOS!O4</f>
        <v>0</v>
      </c>
      <c r="AX3" s="300" t="str" cm="1">
        <f t="array" ref="AX3">_xlfn.IFS(Tabla4[[#This Row],[MONTO5]]=0,"",Tabla4[[#This Row],[SALDO PENDIENTE3]]=0,"PAZ Y SALVO",Tabla4[[#This Row],[SALDO PENDIENTE3]]&gt;0,"PENDIENTE")</f>
        <v>PAZ Y SALVO</v>
      </c>
      <c r="AY3" s="253" t="s">
        <v>334</v>
      </c>
      <c r="AZ3" s="86">
        <v>45528</v>
      </c>
      <c r="BA3" s="100" t="s">
        <v>151</v>
      </c>
      <c r="BB3" s="86">
        <v>45552</v>
      </c>
      <c r="BC3" s="90">
        <f>Tabla4[[#This Row],[FECHA RECIBIDO MINUTA LIBERACION]]-Tabla4[[#This Row],[SOLICITUD DE MINUTA LIBERACIÓN]]</f>
        <v>24</v>
      </c>
      <c r="BD3" s="100" t="s">
        <v>151</v>
      </c>
      <c r="BE3" s="86">
        <v>45549</v>
      </c>
      <c r="BF3" s="100" t="s">
        <v>253</v>
      </c>
      <c r="BG3" s="86" t="s">
        <v>253</v>
      </c>
      <c r="BH3" s="86" t="s">
        <v>253</v>
      </c>
      <c r="BI3" s="86" t="s">
        <v>253</v>
      </c>
      <c r="BJ3" s="91" t="s">
        <v>253</v>
      </c>
      <c r="BK3" s="86">
        <v>45560</v>
      </c>
      <c r="BL3" s="86">
        <v>45596</v>
      </c>
      <c r="BM3" s="86">
        <v>45561</v>
      </c>
      <c r="BN3" s="86">
        <v>45604</v>
      </c>
      <c r="BO3" s="86">
        <v>45611</v>
      </c>
      <c r="BP3" s="90">
        <f>Tabla4[[#This Row],[RECEPCIÓN INTERINO]]-Tabla4[[#This Row],[ENVIO A INTERINO]]</f>
        <v>7</v>
      </c>
      <c r="BQ3" s="86">
        <v>45622</v>
      </c>
      <c r="BR3" s="86">
        <v>45614</v>
      </c>
      <c r="BS3" s="86">
        <v>45611</v>
      </c>
      <c r="BT3" s="86">
        <v>45611</v>
      </c>
      <c r="BU3" s="86" t="s">
        <v>253</v>
      </c>
      <c r="BV3" s="100" t="s">
        <v>151</v>
      </c>
      <c r="BW3" s="86">
        <v>45561</v>
      </c>
      <c r="BX3" s="86">
        <v>45622</v>
      </c>
      <c r="BY3" s="86">
        <v>45623</v>
      </c>
      <c r="BZ3" s="86">
        <v>45631</v>
      </c>
      <c r="CA3" s="218" t="s">
        <v>253</v>
      </c>
      <c r="CB3" s="218" t="s">
        <v>253</v>
      </c>
      <c r="CC3" s="86">
        <v>45600</v>
      </c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</row>
    <row r="4" spans="1:99" s="53" customFormat="1" ht="35" customHeight="1">
      <c r="A4" s="71" t="s">
        <v>7</v>
      </c>
      <c r="B4" s="72" t="s">
        <v>385</v>
      </c>
      <c r="C4" s="73" t="s">
        <v>5</v>
      </c>
      <c r="D4" s="97" t="s">
        <v>327</v>
      </c>
      <c r="E4" s="223" t="s">
        <v>465</v>
      </c>
      <c r="F4" s="319">
        <v>45200</v>
      </c>
      <c r="G4" s="73" t="s">
        <v>6</v>
      </c>
      <c r="H4" s="73" t="s">
        <v>170</v>
      </c>
      <c r="I4" s="73" t="s">
        <v>321</v>
      </c>
      <c r="J4" s="73" t="s">
        <v>373</v>
      </c>
      <c r="K4" s="74">
        <v>28787</v>
      </c>
      <c r="L4" s="73" t="s">
        <v>258</v>
      </c>
      <c r="M4" s="73" t="s">
        <v>300</v>
      </c>
      <c r="N4" s="73" t="s">
        <v>257</v>
      </c>
      <c r="O4" s="73" t="s">
        <v>151</v>
      </c>
      <c r="P4" s="73" t="s">
        <v>283</v>
      </c>
      <c r="Q4" s="73" t="s">
        <v>151</v>
      </c>
      <c r="R4" s="315">
        <v>15000</v>
      </c>
      <c r="S4" s="73" t="s">
        <v>110</v>
      </c>
      <c r="T4" s="73">
        <v>73.09</v>
      </c>
      <c r="U4" s="75">
        <v>0</v>
      </c>
      <c r="V4" s="76">
        <f t="shared" si="0"/>
        <v>73.09</v>
      </c>
      <c r="W4" s="77"/>
      <c r="X4" s="77">
        <f>AB4*T4</f>
        <v>186379.5</v>
      </c>
      <c r="Y4" s="77"/>
      <c r="Z4" s="77"/>
      <c r="AA4" s="260">
        <v>205107.09</v>
      </c>
      <c r="AB4" s="78">
        <v>2550</v>
      </c>
      <c r="AC4" s="104">
        <f t="shared" si="1"/>
        <v>1</v>
      </c>
      <c r="AD4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205107.09</v>
      </c>
      <c r="AE4" s="85">
        <f>Tabla4[[#This Row],[VALOR TOTAL]]-Tabla4[[#This Row],[MONTO A MULTIBANK]]</f>
        <v>61532.130000000005</v>
      </c>
      <c r="AF4" s="79">
        <f>Tabla4[[#This Row],[MONTO CPP]]</f>
        <v>143574.96</v>
      </c>
      <c r="AG4" s="79">
        <f>ABONOS!E5</f>
        <v>0</v>
      </c>
      <c r="AH4" s="300" t="str" cm="1">
        <f t="array" ref="AH4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4" s="80" t="s">
        <v>121</v>
      </c>
      <c r="AJ4" s="77" t="s">
        <v>259</v>
      </c>
      <c r="AK4" s="81" t="s">
        <v>261</v>
      </c>
      <c r="AL4" s="82" t="s">
        <v>278</v>
      </c>
      <c r="AM4" s="83">
        <v>45275</v>
      </c>
      <c r="AN4" s="84" t="s">
        <v>253</v>
      </c>
      <c r="AO4" s="84" t="s">
        <v>253</v>
      </c>
      <c r="AP4" s="77">
        <v>143574.96</v>
      </c>
      <c r="AQ4" s="78" t="s">
        <v>116</v>
      </c>
      <c r="AR4" s="74">
        <v>45215</v>
      </c>
      <c r="AS4" s="79">
        <f t="shared" si="2"/>
        <v>205107.09</v>
      </c>
      <c r="AT4" s="87">
        <v>30474569</v>
      </c>
      <c r="AU4" s="73" t="s">
        <v>121</v>
      </c>
      <c r="AV4" s="78">
        <v>5858.13</v>
      </c>
      <c r="AW4" s="88">
        <f>ABONOS!O5</f>
        <v>0</v>
      </c>
      <c r="AX4" s="300" t="str" cm="1">
        <f t="array" ref="AX4">_xlfn.IFS(Tabla4[[#This Row],[MONTO5]]=0,"",Tabla4[[#This Row],[SALDO PENDIENTE3]]=0,"PAZ Y SALVO",Tabla4[[#This Row],[SALDO PENDIENTE3]]&gt;0,"PENDIENTE")</f>
        <v>PAZ Y SALVO</v>
      </c>
      <c r="AY4" s="89" t="s">
        <v>334</v>
      </c>
      <c r="AZ4" s="86">
        <v>45492</v>
      </c>
      <c r="BA4" s="73" t="s">
        <v>151</v>
      </c>
      <c r="BB4" s="86">
        <v>45506</v>
      </c>
      <c r="BC4" s="90">
        <f>Tabla4[[#This Row],[FECHA RECIBIDO MINUTA LIBERACION]]-Tabla4[[#This Row],[SOLICITUD DE MINUTA LIBERACIÓN]]</f>
        <v>14</v>
      </c>
      <c r="BD4" s="73" t="s">
        <v>151</v>
      </c>
      <c r="BE4" s="86">
        <v>45440</v>
      </c>
      <c r="BF4" s="73" t="s">
        <v>151</v>
      </c>
      <c r="BG4" s="74">
        <v>45499</v>
      </c>
      <c r="BH4" s="74">
        <v>45499</v>
      </c>
      <c r="BI4" s="86" t="s">
        <v>253</v>
      </c>
      <c r="BJ4" s="91" t="s">
        <v>253</v>
      </c>
      <c r="BK4" s="74">
        <v>45532</v>
      </c>
      <c r="BL4" s="74">
        <v>45566</v>
      </c>
      <c r="BM4" s="74">
        <v>45568</v>
      </c>
      <c r="BN4" s="74">
        <v>45566</v>
      </c>
      <c r="BO4" s="74">
        <v>45572</v>
      </c>
      <c r="BP4" s="93">
        <f>Tabla4[[#This Row],[RECEPCIÓN INTERINO]]-Tabla4[[#This Row],[ENVIO A INTERINO]]</f>
        <v>6</v>
      </c>
      <c r="BQ4" s="74">
        <v>45568</v>
      </c>
      <c r="BR4" s="74">
        <v>45579</v>
      </c>
      <c r="BS4" s="74">
        <v>45568</v>
      </c>
      <c r="BT4" s="74">
        <v>45568</v>
      </c>
      <c r="BU4" s="74">
        <v>45573</v>
      </c>
      <c r="BV4" s="92" t="s">
        <v>151</v>
      </c>
      <c r="BW4" s="74" t="s">
        <v>253</v>
      </c>
      <c r="BX4" s="74">
        <v>45573</v>
      </c>
      <c r="BY4" s="74">
        <v>45586</v>
      </c>
      <c r="BZ4" s="74">
        <v>45595</v>
      </c>
      <c r="CA4" s="74">
        <v>45595</v>
      </c>
      <c r="CB4" s="74">
        <v>45604</v>
      </c>
      <c r="CC4" s="86">
        <v>45674</v>
      </c>
    </row>
    <row r="5" spans="1:99" ht="35" customHeight="1">
      <c r="A5" s="71" t="s">
        <v>8</v>
      </c>
      <c r="B5" s="96" t="s">
        <v>385</v>
      </c>
      <c r="C5" s="73" t="s">
        <v>354</v>
      </c>
      <c r="D5" s="97" t="s">
        <v>327</v>
      </c>
      <c r="E5" s="223" t="s">
        <v>465</v>
      </c>
      <c r="F5" s="319">
        <v>45580</v>
      </c>
      <c r="G5" s="73" t="s">
        <v>388</v>
      </c>
      <c r="H5" s="73" t="s">
        <v>355</v>
      </c>
      <c r="I5" s="73" t="s">
        <v>320</v>
      </c>
      <c r="J5" s="223" t="s">
        <v>373</v>
      </c>
      <c r="K5" s="74">
        <v>21194</v>
      </c>
      <c r="L5" s="73" t="s">
        <v>251</v>
      </c>
      <c r="M5" s="73" t="s">
        <v>356</v>
      </c>
      <c r="N5" s="73" t="s">
        <v>250</v>
      </c>
      <c r="O5" s="73" t="s">
        <v>151</v>
      </c>
      <c r="P5" s="73" t="s">
        <v>283</v>
      </c>
      <c r="Q5" s="73" t="s">
        <v>151</v>
      </c>
      <c r="R5" s="315">
        <v>13500</v>
      </c>
      <c r="S5" s="73" t="s">
        <v>110</v>
      </c>
      <c r="T5" s="73">
        <v>73.09</v>
      </c>
      <c r="U5" s="98">
        <v>0</v>
      </c>
      <c r="V5" s="99">
        <f t="shared" si="0"/>
        <v>73.09</v>
      </c>
      <c r="W5" s="79"/>
      <c r="X5" s="79">
        <f>AB5*T5</f>
        <v>186379.5</v>
      </c>
      <c r="Y5" s="79"/>
      <c r="Z5" s="79"/>
      <c r="AA5" s="474">
        <v>204500</v>
      </c>
      <c r="AB5" s="88">
        <v>2550</v>
      </c>
      <c r="AC5" s="104">
        <f t="shared" si="1"/>
        <v>1.0000024449877751</v>
      </c>
      <c r="AD5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204500.5</v>
      </c>
      <c r="AE5" s="85">
        <f>Tabla4[[#This Row],[VALOR TOTAL]]-Tabla4[[#This Row],[MONTO A MULTIBANK]]</f>
        <v>204500</v>
      </c>
      <c r="AF5" s="79">
        <v>0</v>
      </c>
      <c r="AG5" s="79">
        <f>ABONOS!E6</f>
        <v>-0.5</v>
      </c>
      <c r="AH5" s="346" t="e" cm="1">
        <f t="array" ref="AH5">_xlfn.IFS(Tabla4[[#This Row],[RESERVADAS, VENDIDAS]]="DISPONIBLE","",Tabla4[[#This Row],[SALDO PENDIENTE]]=0,"PAZ Y SALVO",Tabla4[[#This Row],[SALDO PENDIENTE]]=Tabla4[[#This Row],[MONTO CPP]],"COBRO CPP",Tabla4[[#This Row],[SALDO PENDIENTE]]&gt;0,"PENDIENTE")</f>
        <v>#N/A</v>
      </c>
      <c r="AI5" s="150" t="s">
        <v>253</v>
      </c>
      <c r="AJ5" s="150" t="s">
        <v>253</v>
      </c>
      <c r="AK5" s="150" t="s">
        <v>253</v>
      </c>
      <c r="AL5" s="150" t="s">
        <v>253</v>
      </c>
      <c r="AM5" s="150" t="s">
        <v>253</v>
      </c>
      <c r="AN5" s="150" t="s">
        <v>253</v>
      </c>
      <c r="AO5" s="150" t="s">
        <v>253</v>
      </c>
      <c r="AP5" s="150" t="s">
        <v>253</v>
      </c>
      <c r="AQ5" s="78" t="s">
        <v>116</v>
      </c>
      <c r="AR5" s="86">
        <v>45627</v>
      </c>
      <c r="AS5" s="79">
        <f t="shared" si="2"/>
        <v>204500</v>
      </c>
      <c r="AT5" s="101">
        <v>30474568</v>
      </c>
      <c r="AU5" s="280" t="s">
        <v>252</v>
      </c>
      <c r="AV5" s="102">
        <v>2070</v>
      </c>
      <c r="AW5" s="88">
        <f>ABONOS!O6</f>
        <v>0</v>
      </c>
      <c r="AX5" s="346" t="str" cm="1">
        <f t="array" ref="AX5">_xlfn.IFS(Tabla4[[#This Row],[MONTO5]]=0,"",Tabla4[[#This Row],[SALDO PENDIENTE3]]=0,"PAZ Y SALVO",Tabla4[[#This Row],[SALDO PENDIENTE3]]&gt;0,"PENDIENTE")</f>
        <v>PAZ Y SALVO</v>
      </c>
      <c r="AY5" s="89" t="s">
        <v>334</v>
      </c>
      <c r="AZ5" s="86">
        <v>45954</v>
      </c>
      <c r="BA5" s="280" t="s">
        <v>151</v>
      </c>
      <c r="BB5" s="86">
        <v>45961</v>
      </c>
      <c r="BC5" s="90">
        <f>Tabla4[[#This Row],[FECHA RECIBIDO MINUTA LIBERACION]]-Tabla4[[#This Row],[SOLICITUD DE MINUTA LIBERACIÓN]]</f>
        <v>7</v>
      </c>
      <c r="BD5" s="280" t="s">
        <v>151</v>
      </c>
      <c r="BE5" s="86">
        <v>45969</v>
      </c>
      <c r="BF5" s="280" t="s">
        <v>253</v>
      </c>
      <c r="BG5" s="218" t="s">
        <v>253</v>
      </c>
      <c r="BH5" s="218" t="s">
        <v>253</v>
      </c>
      <c r="BI5" s="218" t="s">
        <v>253</v>
      </c>
      <c r="BJ5" s="280" t="s">
        <v>482</v>
      </c>
      <c r="BK5" s="86">
        <v>45969</v>
      </c>
      <c r="BL5" s="86">
        <v>45975</v>
      </c>
      <c r="BM5" s="86">
        <v>45975</v>
      </c>
      <c r="BN5" s="86">
        <v>45975</v>
      </c>
      <c r="BO5" s="86">
        <v>45984</v>
      </c>
      <c r="BP5" s="93">
        <f>Tabla4[[#This Row],[RECEPCIÓN INTERINO]]-Tabla4[[#This Row],[ENVIO A INTERINO]]</f>
        <v>9</v>
      </c>
      <c r="BQ5" s="86">
        <v>45985</v>
      </c>
      <c r="BR5" s="86">
        <v>45968</v>
      </c>
      <c r="BS5" s="86">
        <v>45986</v>
      </c>
      <c r="BT5" s="86">
        <v>45986</v>
      </c>
      <c r="BU5" s="86" t="s">
        <v>253</v>
      </c>
      <c r="BV5" s="407" t="s">
        <v>151</v>
      </c>
      <c r="BW5" s="86">
        <v>45975</v>
      </c>
      <c r="BX5" s="86">
        <v>45988</v>
      </c>
      <c r="BY5" s="86">
        <v>45988</v>
      </c>
      <c r="BZ5" s="86">
        <v>45992</v>
      </c>
      <c r="CA5" s="86" t="s">
        <v>253</v>
      </c>
      <c r="CB5" s="86" t="s">
        <v>253</v>
      </c>
      <c r="CC5" s="86">
        <v>45946</v>
      </c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</row>
    <row r="6" spans="1:99" ht="35" customHeight="1">
      <c r="A6" s="71" t="s">
        <v>11</v>
      </c>
      <c r="B6" s="96" t="s">
        <v>385</v>
      </c>
      <c r="C6" s="73" t="s">
        <v>9</v>
      </c>
      <c r="D6" s="97" t="s">
        <v>327</v>
      </c>
      <c r="E6" s="223" t="s">
        <v>465</v>
      </c>
      <c r="F6" s="319">
        <v>45108</v>
      </c>
      <c r="G6" s="73" t="s">
        <v>10</v>
      </c>
      <c r="H6" s="73" t="s">
        <v>170</v>
      </c>
      <c r="I6" s="73" t="s">
        <v>321</v>
      </c>
      <c r="J6" s="73" t="s">
        <v>379</v>
      </c>
      <c r="K6" s="74">
        <v>28088</v>
      </c>
      <c r="L6" s="73" t="s">
        <v>258</v>
      </c>
      <c r="M6" s="73" t="s">
        <v>301</v>
      </c>
      <c r="N6" s="73" t="s">
        <v>250</v>
      </c>
      <c r="O6" s="73" t="s">
        <v>151</v>
      </c>
      <c r="P6" s="73" t="s">
        <v>283</v>
      </c>
      <c r="Q6" s="73" t="s">
        <v>283</v>
      </c>
      <c r="R6" s="315">
        <v>15000</v>
      </c>
      <c r="S6" s="73" t="s">
        <v>110</v>
      </c>
      <c r="T6" s="73">
        <v>73.09</v>
      </c>
      <c r="U6" s="98">
        <v>0</v>
      </c>
      <c r="V6" s="99">
        <f t="shared" si="0"/>
        <v>73.09</v>
      </c>
      <c r="W6" s="79"/>
      <c r="X6" s="79">
        <f>AB6*T6</f>
        <v>186379.5</v>
      </c>
      <c r="Y6" s="79"/>
      <c r="Z6" s="79"/>
      <c r="AA6" s="88">
        <f>X6+W6+Y6+Z6</f>
        <v>186379.5</v>
      </c>
      <c r="AB6" s="88">
        <v>2550</v>
      </c>
      <c r="AC6" s="104">
        <f t="shared" si="1"/>
        <v>1</v>
      </c>
      <c r="AD6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186379.5</v>
      </c>
      <c r="AE6" s="85">
        <f>Tabla4[[#This Row],[VALOR TOTAL]]-Tabla4[[#This Row],[MONTO A MULTIBANK]]</f>
        <v>55913.850000000006</v>
      </c>
      <c r="AF6" s="79">
        <f>AA6*70%</f>
        <v>130465.65</v>
      </c>
      <c r="AG6" s="79">
        <f>ABONOS!E7</f>
        <v>0</v>
      </c>
      <c r="AH6" s="300" t="str" cm="1">
        <f t="array" ref="AH6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6" s="84" t="s">
        <v>253</v>
      </c>
      <c r="AJ6" s="84" t="s">
        <v>253</v>
      </c>
      <c r="AK6" s="84" t="s">
        <v>253</v>
      </c>
      <c r="AL6" s="84" t="s">
        <v>253</v>
      </c>
      <c r="AM6" s="84" t="s">
        <v>253</v>
      </c>
      <c r="AN6" s="84" t="s">
        <v>253</v>
      </c>
      <c r="AO6" s="84" t="s">
        <v>253</v>
      </c>
      <c r="AP6" s="84" t="s">
        <v>253</v>
      </c>
      <c r="AQ6" s="88" t="s">
        <v>116</v>
      </c>
      <c r="AR6" s="86">
        <v>45054</v>
      </c>
      <c r="AS6" s="79">
        <f t="shared" si="2"/>
        <v>186379.5</v>
      </c>
      <c r="AT6" s="101">
        <v>30474567</v>
      </c>
      <c r="AU6" s="100" t="s">
        <v>252</v>
      </c>
      <c r="AV6" s="88">
        <v>1400</v>
      </c>
      <c r="AW6" s="88">
        <f>ABONOS!O7</f>
        <v>0</v>
      </c>
      <c r="AX6" s="300" t="str" cm="1">
        <f t="array" ref="AX6">_xlfn.IFS(Tabla4[[#This Row],[MONTO5]]=0,"",Tabla4[[#This Row],[SALDO PENDIENTE3]]=0,"PAZ Y SALVO",Tabla4[[#This Row],[SALDO PENDIENTE3]]&gt;0,"PENDIENTE")</f>
        <v>PAZ Y SALVO</v>
      </c>
      <c r="AY6" s="103" t="s">
        <v>334</v>
      </c>
      <c r="AZ6" s="86">
        <v>45428</v>
      </c>
      <c r="BA6" s="100" t="s">
        <v>151</v>
      </c>
      <c r="BB6" s="86">
        <v>45449</v>
      </c>
      <c r="BC6" s="90">
        <f>Tabla4[[#This Row],[FECHA RECIBIDO MINUTA LIBERACION]]-Tabla4[[#This Row],[SOLICITUD DE MINUTA LIBERACIÓN]]</f>
        <v>21</v>
      </c>
      <c r="BD6" s="100" t="s">
        <v>151</v>
      </c>
      <c r="BE6" s="86">
        <v>45450</v>
      </c>
      <c r="BF6" s="100" t="s">
        <v>253</v>
      </c>
      <c r="BG6" s="86" t="s">
        <v>253</v>
      </c>
      <c r="BH6" s="86" t="s">
        <v>253</v>
      </c>
      <c r="BI6" s="86" t="s">
        <v>253</v>
      </c>
      <c r="BJ6" s="91" t="s">
        <v>253</v>
      </c>
      <c r="BK6" s="86">
        <v>45449</v>
      </c>
      <c r="BL6" s="86">
        <v>45458</v>
      </c>
      <c r="BM6" s="86">
        <v>45454</v>
      </c>
      <c r="BN6" s="86">
        <v>45461</v>
      </c>
      <c r="BO6" s="86">
        <v>45469</v>
      </c>
      <c r="BP6" s="90">
        <f>Tabla4[[#This Row],[RECEPCIÓN INTERINO]]-Tabla4[[#This Row],[ENVIO A INTERINO]]</f>
        <v>8</v>
      </c>
      <c r="BQ6" s="86">
        <v>45471</v>
      </c>
      <c r="BR6" s="86">
        <v>45485</v>
      </c>
      <c r="BS6" s="86">
        <v>45469</v>
      </c>
      <c r="BT6" s="86">
        <v>45470</v>
      </c>
      <c r="BU6" s="86" t="s">
        <v>253</v>
      </c>
      <c r="BV6" s="91" t="s">
        <v>151</v>
      </c>
      <c r="BW6" s="86">
        <v>45450</v>
      </c>
      <c r="BX6" s="86">
        <v>45475</v>
      </c>
      <c r="BY6" s="86">
        <v>45358</v>
      </c>
      <c r="BZ6" s="86">
        <v>45488</v>
      </c>
      <c r="CA6" s="86" t="s">
        <v>253</v>
      </c>
      <c r="CB6" s="86" t="s">
        <v>253</v>
      </c>
      <c r="CC6" s="86">
        <v>45422</v>
      </c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</row>
    <row r="7" spans="1:99" ht="35" customHeight="1">
      <c r="A7" s="71" t="s">
        <v>13</v>
      </c>
      <c r="B7" s="96" t="s">
        <v>385</v>
      </c>
      <c r="C7" s="223" t="s">
        <v>12</v>
      </c>
      <c r="D7" s="97" t="s">
        <v>327</v>
      </c>
      <c r="E7" s="223" t="s">
        <v>465</v>
      </c>
      <c r="F7" s="319">
        <v>45139</v>
      </c>
      <c r="G7" s="73">
        <v>674360401</v>
      </c>
      <c r="H7" s="73" t="s">
        <v>139</v>
      </c>
      <c r="I7" s="73" t="s">
        <v>320</v>
      </c>
      <c r="J7" s="73" t="s">
        <v>374</v>
      </c>
      <c r="K7" s="74">
        <v>29184</v>
      </c>
      <c r="L7" s="73" t="s">
        <v>251</v>
      </c>
      <c r="M7" s="73" t="s">
        <v>302</v>
      </c>
      <c r="N7" s="73" t="s">
        <v>250</v>
      </c>
      <c r="O7" s="73" t="s">
        <v>151</v>
      </c>
      <c r="P7" s="73" t="s">
        <v>283</v>
      </c>
      <c r="Q7" s="73" t="s">
        <v>151</v>
      </c>
      <c r="R7" s="315"/>
      <c r="S7" s="73" t="s">
        <v>110</v>
      </c>
      <c r="T7" s="73">
        <v>73.959999999999994</v>
      </c>
      <c r="U7" s="98">
        <v>0</v>
      </c>
      <c r="V7" s="99">
        <f t="shared" si="0"/>
        <v>73.959999999999994</v>
      </c>
      <c r="W7" s="79"/>
      <c r="X7" s="79">
        <v>209100</v>
      </c>
      <c r="Y7" s="79"/>
      <c r="Z7" s="79"/>
      <c r="AA7" s="88">
        <f>X7+W7+Y7+Z7</f>
        <v>209100</v>
      </c>
      <c r="AB7" s="88">
        <v>2550</v>
      </c>
      <c r="AC7" s="104">
        <f t="shared" si="1"/>
        <v>1</v>
      </c>
      <c r="AD7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209100</v>
      </c>
      <c r="AE7" s="85">
        <f>Tabla4[[#This Row],[VALOR TOTAL]]-Tabla4[[#This Row],[MONTO A MULTIBANK]]</f>
        <v>209100</v>
      </c>
      <c r="AF7" s="79">
        <v>0</v>
      </c>
      <c r="AG7" s="79">
        <f>ABONOS!E8</f>
        <v>0</v>
      </c>
      <c r="AH7" s="346" t="str" cm="1">
        <f t="array" ref="AH7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7" s="150" t="s">
        <v>253</v>
      </c>
      <c r="AJ7" s="150" t="s">
        <v>253</v>
      </c>
      <c r="AK7" s="150" t="s">
        <v>253</v>
      </c>
      <c r="AL7" s="150" t="s">
        <v>253</v>
      </c>
      <c r="AM7" s="150" t="s">
        <v>253</v>
      </c>
      <c r="AN7" s="150" t="s">
        <v>253</v>
      </c>
      <c r="AO7" s="73" t="s">
        <v>386</v>
      </c>
      <c r="AP7" s="150" t="s">
        <v>253</v>
      </c>
      <c r="AQ7" s="88" t="s">
        <v>116</v>
      </c>
      <c r="AR7" s="86">
        <v>45189</v>
      </c>
      <c r="AS7" s="79">
        <f t="shared" si="2"/>
        <v>209100</v>
      </c>
      <c r="AT7" s="101">
        <v>30474566</v>
      </c>
      <c r="AU7" s="100" t="s">
        <v>252</v>
      </c>
      <c r="AV7" s="88">
        <v>3427.6</v>
      </c>
      <c r="AW7" s="88">
        <f>ABONOS!O8</f>
        <v>0</v>
      </c>
      <c r="AX7" s="346" t="str" cm="1">
        <f t="array" ref="AX7">_xlfn.IFS(Tabla4[[#This Row],[MONTO5]]=0,"",Tabla4[[#This Row],[SALDO PENDIENTE3]]=0,"PAZ Y SALVO",Tabla4[[#This Row],[SALDO PENDIENTE3]]&gt;0,"PENDIENTE")</f>
        <v>PAZ Y SALVO</v>
      </c>
      <c r="AY7" s="103" t="s">
        <v>334</v>
      </c>
      <c r="AZ7" s="86">
        <v>45862</v>
      </c>
      <c r="BA7" s="280" t="s">
        <v>151</v>
      </c>
      <c r="BB7" s="350">
        <v>45869</v>
      </c>
      <c r="BC7" s="90">
        <f>Tabla4[[#This Row],[FECHA RECIBIDO MINUTA LIBERACION]]-Tabla4[[#This Row],[SOLICITUD DE MINUTA LIBERACIÓN]]</f>
        <v>7</v>
      </c>
      <c r="BD7" s="280" t="s">
        <v>151</v>
      </c>
      <c r="BE7" s="86">
        <v>45926</v>
      </c>
      <c r="BF7" s="100" t="s">
        <v>253</v>
      </c>
      <c r="BG7" s="86" t="s">
        <v>253</v>
      </c>
      <c r="BH7" s="86" t="s">
        <v>253</v>
      </c>
      <c r="BI7" s="86" t="s">
        <v>253</v>
      </c>
      <c r="BJ7" s="91" t="s">
        <v>253</v>
      </c>
      <c r="BK7" s="86">
        <v>45944</v>
      </c>
      <c r="BL7" s="86">
        <v>45958</v>
      </c>
      <c r="BM7" s="86">
        <v>45957</v>
      </c>
      <c r="BN7" s="86">
        <v>45959</v>
      </c>
      <c r="BO7" s="86">
        <v>45969</v>
      </c>
      <c r="BP7" s="90">
        <f>Tabla4[[#This Row],[RECEPCIÓN INTERINO]]-Tabla4[[#This Row],[ENVIO A INTERINO]]</f>
        <v>10</v>
      </c>
      <c r="BQ7" s="86">
        <v>45974</v>
      </c>
      <c r="BR7" s="86">
        <v>45968</v>
      </c>
      <c r="BS7" s="86">
        <v>45982</v>
      </c>
      <c r="BT7" s="86">
        <v>45979</v>
      </c>
      <c r="BU7" s="86" t="s">
        <v>253</v>
      </c>
      <c r="BV7" s="282" t="s">
        <v>151</v>
      </c>
      <c r="BW7" s="86">
        <v>45957</v>
      </c>
      <c r="BX7" s="86">
        <v>45980</v>
      </c>
      <c r="BY7" s="86">
        <v>45982</v>
      </c>
      <c r="BZ7" s="86">
        <v>46055</v>
      </c>
      <c r="CA7" s="86" t="s">
        <v>253</v>
      </c>
      <c r="CB7" s="86" t="s">
        <v>253</v>
      </c>
      <c r="CC7" s="86">
        <v>45529</v>
      </c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</row>
    <row r="8" spans="1:99" ht="35" customHeight="1">
      <c r="A8" s="71" t="s">
        <v>16</v>
      </c>
      <c r="B8" s="96" t="s">
        <v>385</v>
      </c>
      <c r="C8" s="73" t="s">
        <v>14</v>
      </c>
      <c r="D8" s="97" t="s">
        <v>327</v>
      </c>
      <c r="E8" s="223" t="s">
        <v>465</v>
      </c>
      <c r="F8" s="319">
        <v>44986</v>
      </c>
      <c r="G8" s="73" t="s">
        <v>15</v>
      </c>
      <c r="H8" s="73" t="s">
        <v>170</v>
      </c>
      <c r="I8" s="73" t="s">
        <v>321</v>
      </c>
      <c r="J8" s="73" t="s">
        <v>379</v>
      </c>
      <c r="K8" s="74">
        <v>23907</v>
      </c>
      <c r="L8" s="73" t="s">
        <v>251</v>
      </c>
      <c r="M8" s="73" t="s">
        <v>303</v>
      </c>
      <c r="N8" s="73" t="s">
        <v>250</v>
      </c>
      <c r="O8" s="73" t="s">
        <v>151</v>
      </c>
      <c r="P8" s="73" t="s">
        <v>151</v>
      </c>
      <c r="Q8" s="73" t="s">
        <v>253</v>
      </c>
      <c r="R8" s="315">
        <v>0</v>
      </c>
      <c r="S8" s="73" t="s">
        <v>111</v>
      </c>
      <c r="T8" s="73">
        <v>110.82</v>
      </c>
      <c r="U8" s="98">
        <v>0</v>
      </c>
      <c r="V8" s="99">
        <f t="shared" si="0"/>
        <v>110.82</v>
      </c>
      <c r="W8" s="79"/>
      <c r="X8" s="79">
        <f t="shared" ref="X8:X23" si="3">AB8*T8</f>
        <v>270000</v>
      </c>
      <c r="Y8" s="79"/>
      <c r="Z8" s="79"/>
      <c r="AA8" s="88">
        <f>X8+W8+Y8+Z8</f>
        <v>270000</v>
      </c>
      <c r="AB8" s="88">
        <v>2436.3833243096915</v>
      </c>
      <c r="AC8" s="104">
        <f t="shared" si="1"/>
        <v>1</v>
      </c>
      <c r="AD8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270000</v>
      </c>
      <c r="AE8" s="85">
        <f>Tabla4[[#This Row],[VALOR TOTAL]]-Tabla4[[#This Row],[MONTO A MULTIBANK]]</f>
        <v>116000</v>
      </c>
      <c r="AF8" s="79">
        <f>(AA8-50000)*70%</f>
        <v>154000</v>
      </c>
      <c r="AG8" s="79">
        <f>ABONOS!E9</f>
        <v>0</v>
      </c>
      <c r="AH8" s="346" t="str" cm="1">
        <f t="array" ref="AH8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8" s="150" t="s">
        <v>253</v>
      </c>
      <c r="AJ8" s="150" t="s">
        <v>253</v>
      </c>
      <c r="AK8" s="150" t="s">
        <v>253</v>
      </c>
      <c r="AL8" s="150" t="s">
        <v>253</v>
      </c>
      <c r="AM8" s="150" t="s">
        <v>253</v>
      </c>
      <c r="AN8" s="150" t="s">
        <v>253</v>
      </c>
      <c r="AO8" s="150" t="s">
        <v>253</v>
      </c>
      <c r="AP8" s="150" t="s">
        <v>253</v>
      </c>
      <c r="AQ8" s="88" t="s">
        <v>116</v>
      </c>
      <c r="AR8" s="86">
        <v>44973</v>
      </c>
      <c r="AS8" s="79">
        <f t="shared" si="2"/>
        <v>270000</v>
      </c>
      <c r="AT8" s="101">
        <v>30474565</v>
      </c>
      <c r="AU8" s="100" t="s">
        <v>252</v>
      </c>
      <c r="AV8" s="88">
        <v>1950</v>
      </c>
      <c r="AW8" s="88">
        <f>ABONOS!O9</f>
        <v>0</v>
      </c>
      <c r="AX8" s="346" t="str" cm="1">
        <f t="array" ref="AX8">_xlfn.IFS(Tabla4[[#This Row],[MONTO5]]=0,"",Tabla4[[#This Row],[SALDO PENDIENTE3]]=0,"PAZ Y SALVO",Tabla4[[#This Row],[SALDO PENDIENTE3]]&gt;0,"PENDIENTE")</f>
        <v>PAZ Y SALVO</v>
      </c>
      <c r="AY8" s="281" t="s">
        <v>493</v>
      </c>
      <c r="AZ8" s="86">
        <v>45779</v>
      </c>
      <c r="BA8" s="100" t="s">
        <v>151</v>
      </c>
      <c r="BB8" s="86">
        <v>45785</v>
      </c>
      <c r="BC8" s="90">
        <f>Tabla4[[#This Row],[FECHA RECIBIDO MINUTA LIBERACION]]-Tabla4[[#This Row],[SOLICITUD DE MINUTA LIBERACIÓN]]</f>
        <v>6</v>
      </c>
      <c r="BD8" s="100" t="s">
        <v>151</v>
      </c>
      <c r="BE8" s="86">
        <v>45710</v>
      </c>
      <c r="BF8" s="100" t="s">
        <v>253</v>
      </c>
      <c r="BG8" s="86" t="s">
        <v>253</v>
      </c>
      <c r="BH8" s="86" t="s">
        <v>253</v>
      </c>
      <c r="BI8" s="86" t="s">
        <v>253</v>
      </c>
      <c r="BJ8" s="91" t="s">
        <v>253</v>
      </c>
      <c r="BK8" s="86">
        <v>45710</v>
      </c>
      <c r="BL8" s="86">
        <v>45799</v>
      </c>
      <c r="BM8" s="86">
        <v>45799</v>
      </c>
      <c r="BN8" s="86">
        <v>45799</v>
      </c>
      <c r="BO8" s="86">
        <v>45806</v>
      </c>
      <c r="BP8" s="90">
        <f>Tabla4[[#This Row],[RECEPCIÓN INTERINO]]-Tabla4[[#This Row],[ENVIO A INTERINO]]</f>
        <v>7</v>
      </c>
      <c r="BQ8" s="86">
        <v>45820</v>
      </c>
      <c r="BR8" s="86">
        <v>45825</v>
      </c>
      <c r="BS8" s="86">
        <v>45820</v>
      </c>
      <c r="BT8" s="86">
        <v>45820</v>
      </c>
      <c r="BU8" s="86" t="s">
        <v>253</v>
      </c>
      <c r="BV8" s="282" t="s">
        <v>151</v>
      </c>
      <c r="BW8" s="86">
        <v>45796</v>
      </c>
      <c r="BX8" s="86">
        <v>45818</v>
      </c>
      <c r="BY8" s="86">
        <v>45827</v>
      </c>
      <c r="BZ8" s="86">
        <v>45834</v>
      </c>
      <c r="CA8" s="86" t="s">
        <v>253</v>
      </c>
      <c r="CB8" s="86" t="s">
        <v>253</v>
      </c>
      <c r="CC8" s="86">
        <v>45330</v>
      </c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</row>
    <row r="9" spans="1:99" ht="35" customHeight="1">
      <c r="A9" s="71" t="s">
        <v>18</v>
      </c>
      <c r="B9" s="96" t="s">
        <v>385</v>
      </c>
      <c r="C9" s="73" t="s">
        <v>17</v>
      </c>
      <c r="D9" s="97" t="s">
        <v>327</v>
      </c>
      <c r="E9" s="223" t="s">
        <v>465</v>
      </c>
      <c r="F9" s="319">
        <v>45017</v>
      </c>
      <c r="G9" s="73" t="s">
        <v>382</v>
      </c>
      <c r="H9" s="73" t="s">
        <v>139</v>
      </c>
      <c r="I9" s="105" t="s">
        <v>320</v>
      </c>
      <c r="J9" s="105" t="s">
        <v>373</v>
      </c>
      <c r="K9" s="74">
        <v>18346</v>
      </c>
      <c r="L9" s="73" t="s">
        <v>251</v>
      </c>
      <c r="M9" s="73" t="s">
        <v>304</v>
      </c>
      <c r="N9" s="73" t="s">
        <v>250</v>
      </c>
      <c r="O9" s="73" t="s">
        <v>151</v>
      </c>
      <c r="P9" s="73" t="s">
        <v>151</v>
      </c>
      <c r="Q9" s="73" t="s">
        <v>151</v>
      </c>
      <c r="R9" s="315">
        <v>20000</v>
      </c>
      <c r="S9" s="73" t="s">
        <v>111</v>
      </c>
      <c r="T9" s="73">
        <v>109.27</v>
      </c>
      <c r="U9" s="98">
        <v>0</v>
      </c>
      <c r="V9" s="99">
        <f t="shared" si="0"/>
        <v>109.27</v>
      </c>
      <c r="W9" s="79"/>
      <c r="X9" s="79">
        <f t="shared" si="3"/>
        <v>278638.5</v>
      </c>
      <c r="Y9" s="79"/>
      <c r="Z9" s="79"/>
      <c r="AA9" s="88">
        <v>278683.5</v>
      </c>
      <c r="AB9" s="88">
        <v>2550</v>
      </c>
      <c r="AC9" s="104">
        <f t="shared" si="1"/>
        <v>1</v>
      </c>
      <c r="AD9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278683.5</v>
      </c>
      <c r="AE9" s="85">
        <f>Tabla4[[#This Row],[VALOR TOTAL]]-Tabla4[[#This Row],[MONTO A MULTIBANK]]</f>
        <v>83592</v>
      </c>
      <c r="AF9" s="79">
        <v>195091.5</v>
      </c>
      <c r="AG9" s="79">
        <f>ABONOS!E10</f>
        <v>0</v>
      </c>
      <c r="AH9" s="300" t="str" cm="1">
        <f t="array" ref="AH9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9" s="84" t="s">
        <v>253</v>
      </c>
      <c r="AJ9" s="84" t="s">
        <v>253</v>
      </c>
      <c r="AK9" s="84" t="s">
        <v>253</v>
      </c>
      <c r="AL9" s="84" t="s">
        <v>253</v>
      </c>
      <c r="AM9" s="84" t="s">
        <v>253</v>
      </c>
      <c r="AN9" s="84" t="s">
        <v>253</v>
      </c>
      <c r="AO9" s="84" t="s">
        <v>253</v>
      </c>
      <c r="AP9" s="84" t="s">
        <v>253</v>
      </c>
      <c r="AQ9" s="88" t="s">
        <v>116</v>
      </c>
      <c r="AR9" s="86">
        <v>45040</v>
      </c>
      <c r="AS9" s="79">
        <f t="shared" si="2"/>
        <v>278683.5</v>
      </c>
      <c r="AT9" s="101">
        <v>30474564</v>
      </c>
      <c r="AU9" s="100" t="s">
        <v>252</v>
      </c>
      <c r="AV9" s="88">
        <v>1950</v>
      </c>
      <c r="AW9" s="88">
        <f>ABONOS!O10</f>
        <v>0</v>
      </c>
      <c r="AX9" s="300" t="str" cm="1">
        <f t="array" ref="AX9">_xlfn.IFS(Tabla4[[#This Row],[MONTO5]]=0,"",Tabla4[[#This Row],[SALDO PENDIENTE3]]=0,"PAZ Y SALVO",Tabla4[[#This Row],[SALDO PENDIENTE3]]&gt;0,"PENDIENTE")</f>
        <v>PAZ Y SALVO</v>
      </c>
      <c r="AY9" s="103" t="s">
        <v>334</v>
      </c>
      <c r="AZ9" s="86">
        <v>45428</v>
      </c>
      <c r="BA9" s="100" t="s">
        <v>151</v>
      </c>
      <c r="BB9" s="86">
        <v>45449</v>
      </c>
      <c r="BC9" s="90">
        <f>Tabla4[[#This Row],[FECHA RECIBIDO MINUTA LIBERACION]]-Tabla4[[#This Row],[SOLICITUD DE MINUTA LIBERACIÓN]]</f>
        <v>21</v>
      </c>
      <c r="BD9" s="100" t="s">
        <v>151</v>
      </c>
      <c r="BE9" s="86">
        <v>45414</v>
      </c>
      <c r="BF9" s="100" t="s">
        <v>253</v>
      </c>
      <c r="BG9" s="86" t="s">
        <v>253</v>
      </c>
      <c r="BH9" s="86" t="s">
        <v>253</v>
      </c>
      <c r="BI9" s="86" t="s">
        <v>253</v>
      </c>
      <c r="BJ9" s="91" t="s">
        <v>253</v>
      </c>
      <c r="BK9" s="86">
        <v>45461</v>
      </c>
      <c r="BL9" s="86">
        <v>45468</v>
      </c>
      <c r="BM9" s="86">
        <v>45467</v>
      </c>
      <c r="BN9" s="86">
        <v>45471</v>
      </c>
      <c r="BO9" s="86">
        <v>45477</v>
      </c>
      <c r="BP9" s="90">
        <f>Tabla4[[#This Row],[RECEPCIÓN INTERINO]]-Tabla4[[#This Row],[ENVIO A INTERINO]]</f>
        <v>6</v>
      </c>
      <c r="BQ9" s="86">
        <v>45482</v>
      </c>
      <c r="BR9" s="86">
        <v>45485</v>
      </c>
      <c r="BS9" s="86">
        <v>45485</v>
      </c>
      <c r="BT9" s="86">
        <v>45482</v>
      </c>
      <c r="BU9" s="86" t="s">
        <v>253</v>
      </c>
      <c r="BV9" s="91" t="s">
        <v>151</v>
      </c>
      <c r="BW9" s="86">
        <v>45462</v>
      </c>
      <c r="BX9" s="86">
        <v>45483</v>
      </c>
      <c r="BY9" s="86">
        <v>45485</v>
      </c>
      <c r="BZ9" s="86">
        <v>45499</v>
      </c>
      <c r="CA9" s="86" t="s">
        <v>253</v>
      </c>
      <c r="CB9" s="86" t="s">
        <v>253</v>
      </c>
      <c r="CC9" s="86">
        <v>45357</v>
      </c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</row>
    <row r="10" spans="1:99" ht="35" customHeight="1">
      <c r="A10" s="71" t="s">
        <v>21</v>
      </c>
      <c r="B10" s="96" t="s">
        <v>385</v>
      </c>
      <c r="C10" s="73" t="s">
        <v>19</v>
      </c>
      <c r="D10" s="97" t="s">
        <v>327</v>
      </c>
      <c r="E10" s="223" t="s">
        <v>465</v>
      </c>
      <c r="F10" s="319">
        <v>45108</v>
      </c>
      <c r="G10" s="73" t="s">
        <v>20</v>
      </c>
      <c r="H10" s="73" t="s">
        <v>170</v>
      </c>
      <c r="I10" s="73" t="s">
        <v>321</v>
      </c>
      <c r="J10" s="73" t="s">
        <v>379</v>
      </c>
      <c r="K10" s="74">
        <v>29007</v>
      </c>
      <c r="L10" s="73" t="s">
        <v>258</v>
      </c>
      <c r="M10" s="73" t="s">
        <v>305</v>
      </c>
      <c r="N10" s="73" t="s">
        <v>257</v>
      </c>
      <c r="O10" s="73" t="s">
        <v>283</v>
      </c>
      <c r="P10" s="73" t="s">
        <v>283</v>
      </c>
      <c r="Q10" s="73" t="s">
        <v>253</v>
      </c>
      <c r="R10" s="315">
        <v>0</v>
      </c>
      <c r="S10" s="73" t="s">
        <v>110</v>
      </c>
      <c r="T10" s="73">
        <v>73.09</v>
      </c>
      <c r="U10" s="98">
        <v>0</v>
      </c>
      <c r="V10" s="99">
        <f t="shared" si="0"/>
        <v>73.09</v>
      </c>
      <c r="W10" s="79"/>
      <c r="X10" s="79">
        <f t="shared" si="3"/>
        <v>186379.5</v>
      </c>
      <c r="Y10" s="79"/>
      <c r="Z10" s="79"/>
      <c r="AA10" s="88">
        <f>X10+W10+Y10+Z10</f>
        <v>186379.5</v>
      </c>
      <c r="AB10" s="88">
        <v>2550</v>
      </c>
      <c r="AC10" s="104">
        <f t="shared" si="1"/>
        <v>1</v>
      </c>
      <c r="AD10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186379.5</v>
      </c>
      <c r="AE10" s="85">
        <f>Tabla4[[#This Row],[VALOR TOTAL]]-Tabla4[[#This Row],[MONTO A MULTIBANK]]</f>
        <v>37275.899999999994</v>
      </c>
      <c r="AF10" s="79">
        <f>Tabla4[[#This Row],[MONTO CPP]]</f>
        <v>149103.6</v>
      </c>
      <c r="AG10" s="79">
        <f>ABONOS!E11</f>
        <v>0</v>
      </c>
      <c r="AH10" s="300" t="str" cm="1">
        <f t="array" ref="AH10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10" s="84" t="s">
        <v>122</v>
      </c>
      <c r="AJ10" s="79" t="s">
        <v>274</v>
      </c>
      <c r="AK10" s="81" t="s">
        <v>270</v>
      </c>
      <c r="AL10" s="82" t="s">
        <v>278</v>
      </c>
      <c r="AM10" s="83">
        <v>45133</v>
      </c>
      <c r="AN10" s="83">
        <v>45495</v>
      </c>
      <c r="AO10" s="223" t="s">
        <v>278</v>
      </c>
      <c r="AP10" s="79">
        <v>149103.6</v>
      </c>
      <c r="AQ10" s="88" t="s">
        <v>116</v>
      </c>
      <c r="AR10" s="86">
        <v>45145</v>
      </c>
      <c r="AS10" s="79">
        <f t="shared" si="2"/>
        <v>186379.5</v>
      </c>
      <c r="AT10" s="101">
        <v>30474563</v>
      </c>
      <c r="AU10" s="100" t="s">
        <v>122</v>
      </c>
      <c r="AV10" s="88" t="s">
        <v>120</v>
      </c>
      <c r="AW10" s="88">
        <f>ABONOS!O11</f>
        <v>0</v>
      </c>
      <c r="AX10" s="300" t="str" cm="1">
        <f t="array" ref="AX10">_xlfn.IFS(Tabla4[[#This Row],[MONTO5]]=0,"",Tabla4[[#This Row],[SALDO PENDIENTE3]]=0,"PAZ Y SALVO",Tabla4[[#This Row],[SALDO PENDIENTE3]]&gt;0,"PENDIENTE")</f>
        <v>PAZ Y SALVO</v>
      </c>
      <c r="AY10" s="103" t="s">
        <v>334</v>
      </c>
      <c r="AZ10" s="86">
        <v>45428</v>
      </c>
      <c r="BA10" s="100" t="s">
        <v>151</v>
      </c>
      <c r="BB10" s="86">
        <v>45455</v>
      </c>
      <c r="BC10" s="90">
        <f>Tabla4[[#This Row],[FECHA RECIBIDO MINUTA LIBERACION]]-Tabla4[[#This Row],[SOLICITUD DE MINUTA LIBERACIÓN]]</f>
        <v>27</v>
      </c>
      <c r="BD10" s="100" t="s">
        <v>151</v>
      </c>
      <c r="BE10" s="86">
        <v>45440</v>
      </c>
      <c r="BF10" s="100" t="s">
        <v>151</v>
      </c>
      <c r="BG10" s="86">
        <v>45435</v>
      </c>
      <c r="BH10" s="86" t="s">
        <v>151</v>
      </c>
      <c r="BI10" s="86" t="s">
        <v>151</v>
      </c>
      <c r="BJ10" s="91" t="s">
        <v>151</v>
      </c>
      <c r="BK10" s="86">
        <v>45476</v>
      </c>
      <c r="BL10" s="86">
        <v>45472</v>
      </c>
      <c r="BM10" s="86">
        <v>45477</v>
      </c>
      <c r="BN10" s="86">
        <v>45477</v>
      </c>
      <c r="BO10" s="86">
        <v>45481</v>
      </c>
      <c r="BP10" s="90">
        <f>Tabla4[[#This Row],[RECEPCIÓN INTERINO]]-Tabla4[[#This Row],[ENVIO A INTERINO]]</f>
        <v>4</v>
      </c>
      <c r="BQ10" s="86">
        <v>45477</v>
      </c>
      <c r="BR10" s="86">
        <v>45457</v>
      </c>
      <c r="BS10" s="86">
        <v>45478</v>
      </c>
      <c r="BT10" s="86">
        <v>45478</v>
      </c>
      <c r="BU10" s="86">
        <v>45481</v>
      </c>
      <c r="BV10" s="91" t="s">
        <v>151</v>
      </c>
      <c r="BW10" s="86">
        <v>45470</v>
      </c>
      <c r="BX10" s="86">
        <v>45484</v>
      </c>
      <c r="BY10" s="86">
        <v>45485</v>
      </c>
      <c r="BZ10" s="86">
        <v>45488</v>
      </c>
      <c r="CA10" s="86">
        <v>45488</v>
      </c>
      <c r="CB10" s="86">
        <v>45491</v>
      </c>
      <c r="CC10" s="86">
        <v>45499</v>
      </c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</row>
    <row r="11" spans="1:99" ht="35" customHeight="1">
      <c r="A11" s="71" t="s">
        <v>23</v>
      </c>
      <c r="B11" s="96" t="s">
        <v>385</v>
      </c>
      <c r="C11" s="73" t="s">
        <v>22</v>
      </c>
      <c r="D11" s="97" t="s">
        <v>327</v>
      </c>
      <c r="E11" s="223" t="s">
        <v>465</v>
      </c>
      <c r="F11" s="319">
        <v>45261</v>
      </c>
      <c r="G11" s="73">
        <v>533608824</v>
      </c>
      <c r="H11" s="73" t="s">
        <v>139</v>
      </c>
      <c r="I11" s="105" t="s">
        <v>320</v>
      </c>
      <c r="J11" s="105" t="s">
        <v>375</v>
      </c>
      <c r="K11" s="74">
        <v>20482</v>
      </c>
      <c r="L11" s="73" t="s">
        <v>251</v>
      </c>
      <c r="M11" s="73" t="s">
        <v>306</v>
      </c>
      <c r="N11" s="73" t="s">
        <v>250</v>
      </c>
      <c r="O11" s="73" t="s">
        <v>151</v>
      </c>
      <c r="P11" s="73" t="s">
        <v>151</v>
      </c>
      <c r="Q11" s="73" t="s">
        <v>283</v>
      </c>
      <c r="R11" s="315">
        <v>12000</v>
      </c>
      <c r="S11" s="73" t="s">
        <v>109</v>
      </c>
      <c r="T11" s="73">
        <v>59.94</v>
      </c>
      <c r="U11" s="98">
        <v>0</v>
      </c>
      <c r="V11" s="99">
        <f t="shared" si="0"/>
        <v>59.94</v>
      </c>
      <c r="W11" s="79"/>
      <c r="X11" s="79">
        <f t="shared" si="3"/>
        <v>152847</v>
      </c>
      <c r="Y11" s="79"/>
      <c r="Z11" s="79"/>
      <c r="AA11" s="88">
        <v>150000</v>
      </c>
      <c r="AB11" s="88">
        <v>2550</v>
      </c>
      <c r="AC11" s="104">
        <f t="shared" si="1"/>
        <v>1</v>
      </c>
      <c r="AD11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150000</v>
      </c>
      <c r="AE11" s="85">
        <f>Tabla4[[#This Row],[VALOR TOTAL]]-Tabla4[[#This Row],[MONTO A MULTIBANK]]</f>
        <v>45000</v>
      </c>
      <c r="AF11" s="79">
        <f>Tabla4[[#This Row],[MONTO CPP]]</f>
        <v>105000</v>
      </c>
      <c r="AG11" s="79">
        <f>ABONOS!E12</f>
        <v>0</v>
      </c>
      <c r="AH11" s="300" t="str" cm="1">
        <f t="array" ref="AH11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11" s="84" t="s">
        <v>262</v>
      </c>
      <c r="AJ11" s="77" t="s">
        <v>291</v>
      </c>
      <c r="AK11" s="81" t="s">
        <v>292</v>
      </c>
      <c r="AL11" s="82" t="s">
        <v>278</v>
      </c>
      <c r="AM11" s="83">
        <v>45377</v>
      </c>
      <c r="AN11" s="83">
        <v>45558</v>
      </c>
      <c r="AO11" s="223" t="s">
        <v>278</v>
      </c>
      <c r="AP11" s="79">
        <v>105000</v>
      </c>
      <c r="AQ11" s="88" t="s">
        <v>116</v>
      </c>
      <c r="AR11" s="86">
        <v>45337</v>
      </c>
      <c r="AS11" s="79">
        <f t="shared" si="2"/>
        <v>150000</v>
      </c>
      <c r="AT11" s="101">
        <v>30474562</v>
      </c>
      <c r="AU11" s="100" t="s">
        <v>252</v>
      </c>
      <c r="AV11" s="88">
        <v>1525</v>
      </c>
      <c r="AW11" s="88">
        <f>ABONOS!O12</f>
        <v>0</v>
      </c>
      <c r="AX11" s="300" t="str" cm="1">
        <f t="array" ref="AX11">_xlfn.IFS(Tabla4[[#This Row],[MONTO5]]=0,"",Tabla4[[#This Row],[SALDO PENDIENTE3]]=0,"PAZ Y SALVO",Tabla4[[#This Row],[SALDO PENDIENTE3]]&gt;0,"PENDIENTE")</f>
        <v>PAZ Y SALVO</v>
      </c>
      <c r="AY11" s="103" t="s">
        <v>334</v>
      </c>
      <c r="AZ11" s="86">
        <v>45428</v>
      </c>
      <c r="BA11" s="100" t="s">
        <v>151</v>
      </c>
      <c r="BB11" s="86">
        <v>45455</v>
      </c>
      <c r="BC11" s="90">
        <f>Tabla4[[#This Row],[FECHA RECIBIDO MINUTA LIBERACION]]-Tabla4[[#This Row],[SOLICITUD DE MINUTA LIBERACIÓN]]</f>
        <v>27</v>
      </c>
      <c r="BD11" s="100" t="s">
        <v>151</v>
      </c>
      <c r="BE11" s="86">
        <v>45446</v>
      </c>
      <c r="BF11" s="100" t="s">
        <v>253</v>
      </c>
      <c r="BG11" s="86" t="s">
        <v>253</v>
      </c>
      <c r="BH11" s="86" t="s">
        <v>253</v>
      </c>
      <c r="BI11" s="86" t="s">
        <v>253</v>
      </c>
      <c r="BJ11" s="91" t="s">
        <v>253</v>
      </c>
      <c r="BK11" s="86">
        <v>45464</v>
      </c>
      <c r="BL11" s="86">
        <v>45479</v>
      </c>
      <c r="BM11" s="86">
        <v>45478</v>
      </c>
      <c r="BN11" s="86">
        <v>45483</v>
      </c>
      <c r="BO11" s="86">
        <v>45485</v>
      </c>
      <c r="BP11" s="90">
        <f>Tabla4[[#This Row],[RECEPCIÓN INTERINO]]-Tabla4[[#This Row],[ENVIO A INTERINO]]</f>
        <v>2</v>
      </c>
      <c r="BQ11" s="86">
        <v>45489</v>
      </c>
      <c r="BR11" s="86">
        <v>45484</v>
      </c>
      <c r="BS11" s="86">
        <v>45489</v>
      </c>
      <c r="BT11" s="86">
        <v>45488</v>
      </c>
      <c r="BU11" s="86" t="s">
        <v>253</v>
      </c>
      <c r="BV11" s="91" t="s">
        <v>151</v>
      </c>
      <c r="BW11" s="86">
        <v>45464</v>
      </c>
      <c r="BX11" s="86">
        <v>45489</v>
      </c>
      <c r="BY11" s="86">
        <v>45490</v>
      </c>
      <c r="BZ11" s="86">
        <v>45496</v>
      </c>
      <c r="CA11" s="86">
        <v>45496</v>
      </c>
      <c r="CB11" s="86">
        <v>45499</v>
      </c>
      <c r="CC11" s="86">
        <v>45502</v>
      </c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</row>
    <row r="12" spans="1:99" ht="35" customHeight="1" thickBot="1">
      <c r="A12" s="106" t="s">
        <v>24</v>
      </c>
      <c r="B12" s="107" t="s">
        <v>385</v>
      </c>
      <c r="C12" s="108" t="s">
        <v>387</v>
      </c>
      <c r="D12" s="109" t="s">
        <v>327</v>
      </c>
      <c r="E12" s="375" t="s">
        <v>465</v>
      </c>
      <c r="F12" s="320">
        <v>44986</v>
      </c>
      <c r="G12" s="108">
        <v>542879367</v>
      </c>
      <c r="H12" s="108" t="s">
        <v>139</v>
      </c>
      <c r="I12" s="110" t="s">
        <v>320</v>
      </c>
      <c r="J12" s="110" t="s">
        <v>373</v>
      </c>
      <c r="K12" s="111">
        <v>23337</v>
      </c>
      <c r="L12" s="108" t="s">
        <v>251</v>
      </c>
      <c r="M12" s="108" t="s">
        <v>314</v>
      </c>
      <c r="N12" s="108" t="s">
        <v>250</v>
      </c>
      <c r="O12" s="108" t="s">
        <v>151</v>
      </c>
      <c r="P12" s="108" t="s">
        <v>283</v>
      </c>
      <c r="Q12" s="108" t="s">
        <v>151</v>
      </c>
      <c r="R12" s="316"/>
      <c r="S12" s="108" t="s">
        <v>108</v>
      </c>
      <c r="T12" s="108">
        <v>65.930000000000007</v>
      </c>
      <c r="U12" s="112">
        <v>0</v>
      </c>
      <c r="V12" s="113">
        <f t="shared" si="0"/>
        <v>65.930000000000007</v>
      </c>
      <c r="W12" s="114"/>
      <c r="X12" s="114">
        <f t="shared" si="3"/>
        <v>168121.50000000003</v>
      </c>
      <c r="Y12" s="114"/>
      <c r="Z12" s="114"/>
      <c r="AA12" s="115">
        <f>X12+W12+Y12+Z12</f>
        <v>168121.50000000003</v>
      </c>
      <c r="AB12" s="115">
        <v>2550</v>
      </c>
      <c r="AC12" s="304">
        <f t="shared" si="1"/>
        <v>0.99999999999999978</v>
      </c>
      <c r="AD12" s="116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168121.5</v>
      </c>
      <c r="AE12" s="288">
        <f>Tabla4[[#This Row],[VALOR TOTAL]]-Tabla4[[#This Row],[MONTO A MULTIBANK]]</f>
        <v>58842.525000000009</v>
      </c>
      <c r="AF12" s="114">
        <f>AA12*65%</f>
        <v>109278.97500000002</v>
      </c>
      <c r="AG12" s="114">
        <f>ABONOS!E13</f>
        <v>0</v>
      </c>
      <c r="AH12" s="301" t="str" cm="1">
        <f t="array" ref="AH12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12" s="119" t="s">
        <v>253</v>
      </c>
      <c r="AJ12" s="119" t="s">
        <v>253</v>
      </c>
      <c r="AK12" s="119" t="s">
        <v>253</v>
      </c>
      <c r="AL12" s="119" t="s">
        <v>253</v>
      </c>
      <c r="AM12" s="119" t="s">
        <v>253</v>
      </c>
      <c r="AN12" s="119" t="s">
        <v>253</v>
      </c>
      <c r="AO12" s="119" t="s">
        <v>253</v>
      </c>
      <c r="AP12" s="119" t="s">
        <v>253</v>
      </c>
      <c r="AQ12" s="115" t="s">
        <v>116</v>
      </c>
      <c r="AR12" s="117">
        <v>45058</v>
      </c>
      <c r="AS12" s="114">
        <f t="shared" si="2"/>
        <v>168121.50000000003</v>
      </c>
      <c r="AT12" s="120">
        <v>30474561</v>
      </c>
      <c r="AU12" s="118" t="s">
        <v>252</v>
      </c>
      <c r="AV12" s="115">
        <v>1600</v>
      </c>
      <c r="AW12" s="115">
        <f>ABONOS!O13</f>
        <v>0</v>
      </c>
      <c r="AX12" s="301" t="str" cm="1">
        <f t="array" ref="AX12">_xlfn.IFS(Tabla4[[#This Row],[MONTO5]]=0,"",Tabla4[[#This Row],[SALDO PENDIENTE3]]=0,"PAZ Y SALVO",Tabla4[[#This Row],[SALDO PENDIENTE3]]&gt;0,"PENDIENTE")</f>
        <v>PAZ Y SALVO</v>
      </c>
      <c r="AY12" s="121" t="s">
        <v>334</v>
      </c>
      <c r="AZ12" s="117">
        <v>45478</v>
      </c>
      <c r="BA12" s="118" t="s">
        <v>151</v>
      </c>
      <c r="BB12" s="117">
        <v>45497</v>
      </c>
      <c r="BC12" s="122">
        <f>Tabla4[[#This Row],[FECHA RECIBIDO MINUTA LIBERACION]]-Tabla4[[#This Row],[SOLICITUD DE MINUTA LIBERACIÓN]]</f>
        <v>19</v>
      </c>
      <c r="BD12" s="118" t="s">
        <v>151</v>
      </c>
      <c r="BE12" s="117">
        <v>45496</v>
      </c>
      <c r="BF12" s="118" t="s">
        <v>253</v>
      </c>
      <c r="BG12" s="117" t="s">
        <v>253</v>
      </c>
      <c r="BH12" s="117" t="s">
        <v>253</v>
      </c>
      <c r="BI12" s="117" t="s">
        <v>253</v>
      </c>
      <c r="BJ12" s="123" t="s">
        <v>253</v>
      </c>
      <c r="BK12" s="117">
        <v>45477</v>
      </c>
      <c r="BL12" s="117">
        <v>45478</v>
      </c>
      <c r="BM12" s="117">
        <v>45477</v>
      </c>
      <c r="BN12" s="117">
        <v>45524</v>
      </c>
      <c r="BO12" s="117">
        <v>45533</v>
      </c>
      <c r="BP12" s="122">
        <f>Tabla4[[#This Row],[RECEPCIÓN INTERINO]]-Tabla4[[#This Row],[ENVIO A INTERINO]]</f>
        <v>9</v>
      </c>
      <c r="BQ12" s="117">
        <v>1396933</v>
      </c>
      <c r="BR12" s="117">
        <v>45539</v>
      </c>
      <c r="BS12" s="117">
        <v>45539</v>
      </c>
      <c r="BT12" s="117">
        <v>45542</v>
      </c>
      <c r="BU12" s="117" t="s">
        <v>253</v>
      </c>
      <c r="BV12" s="123" t="s">
        <v>151</v>
      </c>
      <c r="BW12" s="117">
        <v>45477</v>
      </c>
      <c r="BX12" s="117">
        <v>45541</v>
      </c>
      <c r="BY12" s="117">
        <v>45545</v>
      </c>
      <c r="BZ12" s="117">
        <v>45554</v>
      </c>
      <c r="CA12" s="117" t="s">
        <v>253</v>
      </c>
      <c r="CB12" s="117" t="s">
        <v>253</v>
      </c>
      <c r="CC12" s="117">
        <v>45572</v>
      </c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</row>
    <row r="13" spans="1:99" ht="35" customHeight="1">
      <c r="A13" s="124" t="s">
        <v>26</v>
      </c>
      <c r="B13" s="125">
        <v>-100</v>
      </c>
      <c r="C13" s="126" t="s">
        <v>25</v>
      </c>
      <c r="D13" s="127" t="s">
        <v>327</v>
      </c>
      <c r="E13" s="389" t="s">
        <v>465</v>
      </c>
      <c r="F13" s="321">
        <v>44986</v>
      </c>
      <c r="G13" s="126" t="s">
        <v>280</v>
      </c>
      <c r="H13" s="126" t="s">
        <v>170</v>
      </c>
      <c r="I13" s="126" t="s">
        <v>321</v>
      </c>
      <c r="J13" s="126" t="s">
        <v>379</v>
      </c>
      <c r="K13" s="128">
        <v>31415</v>
      </c>
      <c r="L13" s="126" t="s">
        <v>258</v>
      </c>
      <c r="M13" s="126" t="s">
        <v>314</v>
      </c>
      <c r="N13" s="126" t="s">
        <v>257</v>
      </c>
      <c r="O13" s="126" t="s">
        <v>151</v>
      </c>
      <c r="P13" s="126" t="s">
        <v>283</v>
      </c>
      <c r="Q13" s="126" t="s">
        <v>283</v>
      </c>
      <c r="R13" s="317"/>
      <c r="S13" s="126" t="s">
        <v>108</v>
      </c>
      <c r="T13" s="126">
        <v>65.930000000000007</v>
      </c>
      <c r="U13" s="129">
        <v>0</v>
      </c>
      <c r="V13" s="130">
        <f t="shared" si="0"/>
        <v>65.930000000000007</v>
      </c>
      <c r="W13" s="131"/>
      <c r="X13" s="131">
        <f t="shared" si="3"/>
        <v>161528.50000000003</v>
      </c>
      <c r="Y13" s="131"/>
      <c r="Z13" s="131">
        <v>-1528.5</v>
      </c>
      <c r="AA13" s="132">
        <f>X13+W13+Y13+Z13</f>
        <v>160000.00000000003</v>
      </c>
      <c r="AB13" s="132">
        <v>2450</v>
      </c>
      <c r="AC13" s="133">
        <f t="shared" si="1"/>
        <v>0.99999999999999978</v>
      </c>
      <c r="AD13" s="134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160000</v>
      </c>
      <c r="AE13" s="289">
        <f>Tabla4[[#This Row],[VALOR TOTAL]]-Tabla4[[#This Row],[MONTO A MULTIBANK]]</f>
        <v>56000</v>
      </c>
      <c r="AF13" s="285">
        <f>AA13*65%</f>
        <v>104000.00000000003</v>
      </c>
      <c r="AG13" s="131">
        <f>ABONOS!E14</f>
        <v>0</v>
      </c>
      <c r="AH13" s="309" t="str" cm="1">
        <f t="array" ref="AH13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13" s="137" t="s">
        <v>271</v>
      </c>
      <c r="AJ13" s="138" t="s">
        <v>277</v>
      </c>
      <c r="AK13" s="312" t="s">
        <v>437</v>
      </c>
      <c r="AL13" s="139" t="s">
        <v>278</v>
      </c>
      <c r="AM13" s="140">
        <v>45407</v>
      </c>
      <c r="AN13" s="141">
        <v>45772</v>
      </c>
      <c r="AO13" s="389" t="s">
        <v>278</v>
      </c>
      <c r="AP13" s="131">
        <v>86000</v>
      </c>
      <c r="AQ13" s="132" t="s">
        <v>116</v>
      </c>
      <c r="AR13" s="135">
        <v>45051</v>
      </c>
      <c r="AS13" s="131">
        <f t="shared" si="2"/>
        <v>160000.00000000003</v>
      </c>
      <c r="AT13" s="142">
        <v>30474582</v>
      </c>
      <c r="AU13" s="136" t="s">
        <v>271</v>
      </c>
      <c r="AV13" s="132" t="s">
        <v>120</v>
      </c>
      <c r="AW13" s="132">
        <f>ABONOS!O14</f>
        <v>0</v>
      </c>
      <c r="AX13" s="309" t="str" cm="1">
        <f t="array" ref="AX13">_xlfn.IFS(Tabla4[[#This Row],[MONTO5]]=0,"",Tabla4[[#This Row],[SALDO PENDIENTE3]]=0,"PAZ Y SALVO",Tabla4[[#This Row],[SALDO PENDIENTE3]]&gt;0,"PENDIENTE")</f>
        <v>PAZ Y SALVO</v>
      </c>
      <c r="AY13" s="143" t="s">
        <v>334</v>
      </c>
      <c r="AZ13" s="135">
        <v>45478</v>
      </c>
      <c r="BA13" s="136" t="s">
        <v>151</v>
      </c>
      <c r="BB13" s="135">
        <v>45496</v>
      </c>
      <c r="BC13" s="144">
        <f>Tabla4[[#This Row],[FECHA RECIBIDO MINUTA LIBERACION]]-Tabla4[[#This Row],[SOLICITUD DE MINUTA LIBERACIÓN]]</f>
        <v>18</v>
      </c>
      <c r="BD13" s="136" t="s">
        <v>151</v>
      </c>
      <c r="BE13" s="135">
        <v>45492</v>
      </c>
      <c r="BF13" s="393" t="s">
        <v>151</v>
      </c>
      <c r="BG13" s="135">
        <v>45492</v>
      </c>
      <c r="BH13" s="135" t="s">
        <v>151</v>
      </c>
      <c r="BI13" s="135">
        <v>45476</v>
      </c>
      <c r="BJ13" s="145" t="s">
        <v>151</v>
      </c>
      <c r="BK13" s="135">
        <v>45528</v>
      </c>
      <c r="BL13" s="135">
        <v>45525</v>
      </c>
      <c r="BM13" s="135">
        <v>45526</v>
      </c>
      <c r="BN13" s="135">
        <v>45530</v>
      </c>
      <c r="BO13" s="135">
        <v>45531</v>
      </c>
      <c r="BP13" s="144">
        <f>Tabla4[[#This Row],[RECEPCIÓN INTERINO]]-Tabla4[[#This Row],[ENVIO A INTERINO]]</f>
        <v>1</v>
      </c>
      <c r="BQ13" s="135">
        <v>45527</v>
      </c>
      <c r="BR13" s="135">
        <v>45537</v>
      </c>
      <c r="BS13" s="135">
        <v>45539</v>
      </c>
      <c r="BT13" s="135">
        <v>45526</v>
      </c>
      <c r="BU13" s="135">
        <v>45558</v>
      </c>
      <c r="BV13" s="145" t="s">
        <v>151</v>
      </c>
      <c r="BW13" s="135">
        <v>45528</v>
      </c>
      <c r="BX13" s="135">
        <v>45544</v>
      </c>
      <c r="BY13" s="135">
        <v>45547</v>
      </c>
      <c r="BZ13" s="135">
        <v>45551</v>
      </c>
      <c r="CA13" s="135">
        <v>45551</v>
      </c>
      <c r="CB13" s="135">
        <v>45555</v>
      </c>
      <c r="CC13" s="135">
        <v>45811</v>
      </c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</row>
    <row r="14" spans="1:99" ht="35" customHeight="1">
      <c r="A14" s="71" t="s">
        <v>27</v>
      </c>
      <c r="B14" s="96">
        <v>-100</v>
      </c>
      <c r="C14" s="73" t="s">
        <v>263</v>
      </c>
      <c r="D14" s="97" t="s">
        <v>327</v>
      </c>
      <c r="E14" s="390" t="s">
        <v>465</v>
      </c>
      <c r="F14" s="319">
        <v>45413</v>
      </c>
      <c r="G14" s="73" t="s">
        <v>281</v>
      </c>
      <c r="H14" s="73" t="s">
        <v>170</v>
      </c>
      <c r="I14" s="73" t="s">
        <v>321</v>
      </c>
      <c r="J14" s="73" t="s">
        <v>379</v>
      </c>
      <c r="K14" s="74">
        <v>29281</v>
      </c>
      <c r="L14" s="73" t="s">
        <v>258</v>
      </c>
      <c r="M14" s="73" t="s">
        <v>307</v>
      </c>
      <c r="N14" s="73" t="s">
        <v>257</v>
      </c>
      <c r="O14" s="73"/>
      <c r="P14" s="73"/>
      <c r="Q14" s="73"/>
      <c r="R14" s="315"/>
      <c r="S14" s="73" t="s">
        <v>109</v>
      </c>
      <c r="T14" s="73">
        <v>59.94</v>
      </c>
      <c r="U14" s="98">
        <v>0</v>
      </c>
      <c r="V14" s="99">
        <f t="shared" si="0"/>
        <v>59.94</v>
      </c>
      <c r="W14" s="79"/>
      <c r="X14" s="79">
        <f t="shared" si="3"/>
        <v>146853</v>
      </c>
      <c r="Y14" s="79"/>
      <c r="Z14" s="79"/>
      <c r="AA14" s="324">
        <v>152500</v>
      </c>
      <c r="AB14" s="88">
        <v>2450</v>
      </c>
      <c r="AC14" s="104">
        <f t="shared" si="1"/>
        <v>1</v>
      </c>
      <c r="AD14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152500</v>
      </c>
      <c r="AE14" s="289">
        <f>Tabla4[[#This Row],[VALOR TOTAL]]-Tabla4[[#This Row],[MONTO A MULTIBANK]]</f>
        <v>30500</v>
      </c>
      <c r="AF14" s="131">
        <f>AA14*80%</f>
        <v>122000</v>
      </c>
      <c r="AG14" s="79">
        <f>ABONOS!E15</f>
        <v>0</v>
      </c>
      <c r="AH14" s="300" t="str" cm="1">
        <f t="array" ref="AH14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14" s="84" t="s">
        <v>272</v>
      </c>
      <c r="AJ14" s="79" t="s">
        <v>276</v>
      </c>
      <c r="AK14" s="81" t="s">
        <v>275</v>
      </c>
      <c r="AL14" s="146" t="s">
        <v>278</v>
      </c>
      <c r="AM14" s="83"/>
      <c r="AN14" s="83"/>
      <c r="AO14" s="223" t="s">
        <v>278</v>
      </c>
      <c r="AP14" s="79">
        <v>122000</v>
      </c>
      <c r="AQ14" s="88" t="s">
        <v>116</v>
      </c>
      <c r="AR14" s="86">
        <v>45464</v>
      </c>
      <c r="AS14" s="79">
        <f t="shared" si="2"/>
        <v>152500</v>
      </c>
      <c r="AT14" s="101">
        <v>30474581</v>
      </c>
      <c r="AU14" s="100" t="s">
        <v>120</v>
      </c>
      <c r="AV14" s="88" t="s">
        <v>120</v>
      </c>
      <c r="AW14" s="88">
        <f>ABONOS!O15</f>
        <v>0</v>
      </c>
      <c r="AX14" s="300" t="str" cm="1">
        <f t="array" ref="AX14">_xlfn.IFS(Tabla4[[#This Row],[MONTO5]]=0,"",Tabla4[[#This Row],[SALDO PENDIENTE3]]=0,"PAZ Y SALVO",Tabla4[[#This Row],[SALDO PENDIENTE3]]&gt;0,"PENDIENTE")</f>
        <v>PAZ Y SALVO</v>
      </c>
      <c r="AY14" s="103" t="s">
        <v>334</v>
      </c>
      <c r="AZ14" s="86">
        <v>45504</v>
      </c>
      <c r="BA14" s="100" t="s">
        <v>151</v>
      </c>
      <c r="BB14" s="86">
        <v>45532</v>
      </c>
      <c r="BC14" s="90">
        <f>Tabla4[[#This Row],[FECHA RECIBIDO MINUTA LIBERACION]]-Tabla4[[#This Row],[SOLICITUD DE MINUTA LIBERACIÓN]]</f>
        <v>28</v>
      </c>
      <c r="BD14" s="100" t="s">
        <v>151</v>
      </c>
      <c r="BE14" s="86">
        <v>45535</v>
      </c>
      <c r="BF14" s="280" t="s">
        <v>151</v>
      </c>
      <c r="BG14" s="86">
        <v>45539</v>
      </c>
      <c r="BH14" s="86" t="s">
        <v>151</v>
      </c>
      <c r="BI14" s="86" t="s">
        <v>151</v>
      </c>
      <c r="BJ14" s="91" t="s">
        <v>151</v>
      </c>
      <c r="BK14" s="86">
        <v>45573</v>
      </c>
      <c r="BL14" s="86">
        <v>45576</v>
      </c>
      <c r="BM14" s="86">
        <v>45577</v>
      </c>
      <c r="BN14" s="86">
        <v>45579</v>
      </c>
      <c r="BO14" s="86">
        <v>45581</v>
      </c>
      <c r="BP14" s="90">
        <f>Tabla4[[#This Row],[RECEPCIÓN INTERINO]]-Tabla4[[#This Row],[ENVIO A INTERINO]]</f>
        <v>2</v>
      </c>
      <c r="BQ14" s="86">
        <v>45579</v>
      </c>
      <c r="BR14" s="86">
        <v>45579</v>
      </c>
      <c r="BS14" s="86">
        <v>45579</v>
      </c>
      <c r="BT14" s="86">
        <v>45579</v>
      </c>
      <c r="BU14" s="86">
        <v>45581</v>
      </c>
      <c r="BV14" s="91" t="s">
        <v>151</v>
      </c>
      <c r="BW14" s="86">
        <v>45575</v>
      </c>
      <c r="BX14" s="86">
        <v>45586</v>
      </c>
      <c r="BY14" s="86">
        <v>45588</v>
      </c>
      <c r="BZ14" s="86">
        <v>45597</v>
      </c>
      <c r="CA14" s="86">
        <v>45597</v>
      </c>
      <c r="CB14" s="86">
        <v>45604</v>
      </c>
      <c r="CC14" s="86">
        <v>45604</v>
      </c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</row>
    <row r="15" spans="1:99" ht="35" customHeight="1">
      <c r="A15" s="71" t="s">
        <v>28</v>
      </c>
      <c r="B15" s="84">
        <v>-100</v>
      </c>
      <c r="C15" s="223" t="s">
        <v>416</v>
      </c>
      <c r="D15" s="97" t="s">
        <v>327</v>
      </c>
      <c r="E15" s="390" t="s">
        <v>465</v>
      </c>
      <c r="F15" s="319">
        <v>45658</v>
      </c>
      <c r="G15" s="73">
        <v>668069351</v>
      </c>
      <c r="H15" s="73" t="s">
        <v>139</v>
      </c>
      <c r="I15" s="105" t="s">
        <v>320</v>
      </c>
      <c r="J15" s="105" t="s">
        <v>376</v>
      </c>
      <c r="K15" s="74">
        <v>26279</v>
      </c>
      <c r="L15" s="73" t="s">
        <v>251</v>
      </c>
      <c r="M15" s="73" t="s">
        <v>314</v>
      </c>
      <c r="N15" s="73" t="s">
        <v>250</v>
      </c>
      <c r="O15" s="73"/>
      <c r="P15" s="73"/>
      <c r="Q15" s="73"/>
      <c r="R15" s="73"/>
      <c r="S15" s="73" t="s">
        <v>110</v>
      </c>
      <c r="T15" s="73">
        <v>73.09</v>
      </c>
      <c r="U15" s="98">
        <v>0</v>
      </c>
      <c r="V15" s="99">
        <f t="shared" si="0"/>
        <v>73.09</v>
      </c>
      <c r="W15" s="79"/>
      <c r="X15" s="79">
        <f t="shared" si="3"/>
        <v>179070.5</v>
      </c>
      <c r="Y15" s="79"/>
      <c r="Z15" s="79"/>
      <c r="AA15" s="88">
        <v>185270</v>
      </c>
      <c r="AB15" s="88">
        <v>2450</v>
      </c>
      <c r="AC15" s="104">
        <f t="shared" si="1"/>
        <v>0.33494856155880609</v>
      </c>
      <c r="AD15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62055.920000000006</v>
      </c>
      <c r="AE15" s="289">
        <f>Tabla4[[#This Row],[VALOR TOTAL]]-Tabla4[[#This Row],[MONTO A MULTIBANK]]</f>
        <v>185270</v>
      </c>
      <c r="AF15" s="79">
        <v>0</v>
      </c>
      <c r="AG15" s="79">
        <f>ABONOS!E16</f>
        <v>123214.07999999999</v>
      </c>
      <c r="AH15" s="346" t="str" cm="1">
        <f t="array" ref="AH15">_xlfn.IFS(Tabla4[[#This Row],[RESERVADAS, VENDIDAS]]="DISPONIBLE","",Tabla4[[#This Row],[SALDO PENDIENTE]]=0,"PAZ Y SALVO",Tabla4[[#This Row],[SALDO PENDIENTE]]=Tabla4[[#This Row],[MONTO CPP]],"COBRO CPP",Tabla4[[#This Row],[SALDO PENDIENTE]]&gt;0,"PENDIENTE")</f>
        <v>PENDIENTE</v>
      </c>
      <c r="AI15" s="347" t="s">
        <v>253</v>
      </c>
      <c r="AJ15" s="222" t="s">
        <v>253</v>
      </c>
      <c r="AK15" s="392" t="s">
        <v>253</v>
      </c>
      <c r="AL15" s="345" t="s">
        <v>253</v>
      </c>
      <c r="AM15" s="349" t="s">
        <v>253</v>
      </c>
      <c r="AN15" s="349" t="s">
        <v>253</v>
      </c>
      <c r="AO15" s="402" t="s">
        <v>253</v>
      </c>
      <c r="AP15" s="150" t="s">
        <v>253</v>
      </c>
      <c r="AQ15" s="214" t="s">
        <v>116</v>
      </c>
      <c r="AR15" s="86">
        <v>45686</v>
      </c>
      <c r="AS15" s="79">
        <f t="shared" si="2"/>
        <v>185270</v>
      </c>
      <c r="AT15" s="101">
        <v>30474580</v>
      </c>
      <c r="AU15" s="280" t="s">
        <v>120</v>
      </c>
      <c r="AV15" s="102"/>
      <c r="AW15" s="88">
        <f>ABONOS!O16</f>
        <v>0</v>
      </c>
      <c r="AX15" s="346" t="str" cm="1">
        <f t="array" ref="AX15">_xlfn.IFS(Tabla4[[#This Row],[MONTO5]]=0,"",Tabla4[[#This Row],[SALDO PENDIENTE3]]=0,"PAZ Y SALVO",Tabla4[[#This Row],[SALDO PENDIENTE3]]&gt;0,"PENDIENTE")</f>
        <v/>
      </c>
      <c r="AY15" s="281" t="s">
        <v>510</v>
      </c>
      <c r="AZ15" s="86">
        <v>46211</v>
      </c>
      <c r="BA15" s="280" t="s">
        <v>151</v>
      </c>
      <c r="BB15" s="86">
        <v>46213</v>
      </c>
      <c r="BC15" s="90">
        <f>Tabla4[[#This Row],[FECHA RECIBIDO MINUTA LIBERACION]]-Tabla4[[#This Row],[SOLICITUD DE MINUTA LIBERACIÓN]]</f>
        <v>2</v>
      </c>
      <c r="BD15" s="280" t="s">
        <v>151</v>
      </c>
      <c r="BE15" s="86">
        <v>46214</v>
      </c>
      <c r="BF15" s="280" t="s">
        <v>151</v>
      </c>
      <c r="BG15" s="86">
        <v>46214</v>
      </c>
      <c r="BH15" s="280" t="s">
        <v>253</v>
      </c>
      <c r="BI15" s="280" t="s">
        <v>253</v>
      </c>
      <c r="BJ15" s="280" t="s">
        <v>253</v>
      </c>
      <c r="BK15" s="86">
        <v>46230</v>
      </c>
      <c r="BL15" s="86">
        <v>46230</v>
      </c>
      <c r="BM15" s="86">
        <v>46232</v>
      </c>
      <c r="BN15" s="86">
        <v>46232</v>
      </c>
      <c r="BO15" s="86">
        <v>46232</v>
      </c>
      <c r="BP15" s="90">
        <f>Tabla4[[#This Row],[RECEPCIÓN INTERINO]]-Tabla4[[#This Row],[ENVIO A INTERINO]]</f>
        <v>0</v>
      </c>
      <c r="BQ15" s="100"/>
      <c r="BR15" s="100"/>
      <c r="BS15" s="100"/>
      <c r="BT15" s="100"/>
      <c r="BU15" s="86" t="s">
        <v>253</v>
      </c>
      <c r="BV15" s="158"/>
      <c r="BW15" s="158"/>
      <c r="BX15" s="100"/>
      <c r="BY15" s="158"/>
      <c r="BZ15" s="86">
        <v>46259</v>
      </c>
      <c r="CA15" s="100"/>
      <c r="CB15" s="100"/>
      <c r="CC15" s="86">
        <v>45706</v>
      </c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</row>
    <row r="16" spans="1:99" ht="35" customHeight="1">
      <c r="A16" s="71" t="s">
        <v>29</v>
      </c>
      <c r="B16" s="96">
        <v>-100</v>
      </c>
      <c r="C16" s="399" t="s">
        <v>33</v>
      </c>
      <c r="D16" s="97" t="s">
        <v>327</v>
      </c>
      <c r="E16" s="389" t="s">
        <v>465</v>
      </c>
      <c r="F16" s="319">
        <v>45831</v>
      </c>
      <c r="G16" s="488" t="s">
        <v>34</v>
      </c>
      <c r="H16" s="223" t="s">
        <v>139</v>
      </c>
      <c r="I16" s="223" t="s">
        <v>320</v>
      </c>
      <c r="J16" s="223" t="s">
        <v>379</v>
      </c>
      <c r="K16" s="74">
        <v>25895</v>
      </c>
      <c r="L16" s="73" t="s">
        <v>258</v>
      </c>
      <c r="M16" s="73" t="s">
        <v>309</v>
      </c>
      <c r="N16" s="400" t="s">
        <v>257</v>
      </c>
      <c r="O16" s="73"/>
      <c r="P16" s="73"/>
      <c r="Q16" s="73"/>
      <c r="R16" s="315"/>
      <c r="S16" s="73" t="s">
        <v>110</v>
      </c>
      <c r="T16" s="73">
        <v>73.09</v>
      </c>
      <c r="U16" s="98">
        <v>0</v>
      </c>
      <c r="V16" s="99">
        <f t="shared" si="0"/>
        <v>73.09</v>
      </c>
      <c r="W16" s="79"/>
      <c r="X16" s="79">
        <f t="shared" si="3"/>
        <v>179070.5</v>
      </c>
      <c r="Y16" s="79"/>
      <c r="Z16" s="79"/>
      <c r="AA16" s="88">
        <v>191892.6</v>
      </c>
      <c r="AB16" s="88">
        <v>2450</v>
      </c>
      <c r="AC16" s="104">
        <f t="shared" si="1"/>
        <v>0.99999999999999989</v>
      </c>
      <c r="AD16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191892.59999999998</v>
      </c>
      <c r="AE16" s="289">
        <f>Tabla4[[#This Row],[VALOR TOTAL]]-Tabla4[[#This Row],[MONTO A MULTIBANK]]</f>
        <v>63751.650000000009</v>
      </c>
      <c r="AF16" s="79">
        <v>128140.95</v>
      </c>
      <c r="AG16" s="79">
        <f>ABONOS!E17</f>
        <v>0</v>
      </c>
      <c r="AH16" s="346" t="str" cm="1">
        <f t="array" ref="AH16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16" s="401" t="s">
        <v>464</v>
      </c>
      <c r="AJ16" s="401" t="s">
        <v>468</v>
      </c>
      <c r="AK16" s="402"/>
      <c r="AL16" s="401" t="s">
        <v>278</v>
      </c>
      <c r="AM16" s="403">
        <v>45806</v>
      </c>
      <c r="AN16" s="403">
        <f>Tabla4[[#This Row],[FECHA DE EMISION DE CPP]]+365</f>
        <v>46171</v>
      </c>
      <c r="AO16" s="401" t="s">
        <v>278</v>
      </c>
      <c r="AP16" s="404">
        <v>149384.31</v>
      </c>
      <c r="AQ16" s="214" t="s">
        <v>116</v>
      </c>
      <c r="AR16" s="86">
        <v>45805</v>
      </c>
      <c r="AS16" s="79">
        <v>191892.6</v>
      </c>
      <c r="AT16" s="101">
        <v>30474579</v>
      </c>
      <c r="AU16" s="100" t="s">
        <v>120</v>
      </c>
      <c r="AV16" s="88" t="s">
        <v>120</v>
      </c>
      <c r="AW16" s="88">
        <f>ABONOS!O17</f>
        <v>0</v>
      </c>
      <c r="AX16" s="346" t="str" cm="1">
        <f t="array" ref="AX16">_xlfn.IFS(Tabla4[[#This Row],[MONTO5]]=0,"",Tabla4[[#This Row],[SALDO PENDIENTE3]]=0,"PAZ Y SALVO",Tabla4[[#This Row],[SALDO PENDIENTE3]]&gt;0,"PENDIENTE")</f>
        <v>PAZ Y SALVO</v>
      </c>
      <c r="AY16" s="281" t="s">
        <v>334</v>
      </c>
      <c r="AZ16" s="350">
        <v>45828</v>
      </c>
      <c r="BA16" s="405" t="s">
        <v>151</v>
      </c>
      <c r="BB16" s="406">
        <v>45835</v>
      </c>
      <c r="BC16" s="90">
        <f>Tabla4[[#This Row],[FECHA RECIBIDO MINUTA LIBERACION]]-Tabla4[[#This Row],[SOLICITUD DE MINUTA LIBERACIÓN]]</f>
        <v>7</v>
      </c>
      <c r="BD16" s="280" t="s">
        <v>151</v>
      </c>
      <c r="BE16" s="218">
        <v>45838</v>
      </c>
      <c r="BF16" s="280" t="s">
        <v>151</v>
      </c>
      <c r="BG16" s="218">
        <v>45838</v>
      </c>
      <c r="BH16" s="280" t="s">
        <v>253</v>
      </c>
      <c r="BI16" s="280" t="s">
        <v>253</v>
      </c>
      <c r="BJ16" s="280" t="s">
        <v>253</v>
      </c>
      <c r="BK16" s="86">
        <v>45840</v>
      </c>
      <c r="BL16" s="218">
        <v>45840</v>
      </c>
      <c r="BM16" s="218">
        <v>45840</v>
      </c>
      <c r="BN16" s="86">
        <v>45841</v>
      </c>
      <c r="BO16" s="86">
        <v>45841</v>
      </c>
      <c r="BP16" s="90">
        <f>Tabla4[[#This Row],[RECEPCIÓN INTERINO]]-Tabla4[[#This Row],[ENVIO A INTERINO]]</f>
        <v>0</v>
      </c>
      <c r="BQ16" s="86">
        <v>45842</v>
      </c>
      <c r="BR16" s="218">
        <v>45825</v>
      </c>
      <c r="BS16" s="86">
        <v>45842</v>
      </c>
      <c r="BT16" s="86">
        <v>45845</v>
      </c>
      <c r="BU16" s="86">
        <v>45845</v>
      </c>
      <c r="BV16" s="280" t="s">
        <v>151</v>
      </c>
      <c r="BW16" s="407" t="s">
        <v>120</v>
      </c>
      <c r="BX16" s="350">
        <v>45845</v>
      </c>
      <c r="BY16" s="86">
        <v>45849</v>
      </c>
      <c r="BZ16" s="86">
        <v>45854</v>
      </c>
      <c r="CA16" s="86">
        <v>45854</v>
      </c>
      <c r="CB16" s="86">
        <v>45856</v>
      </c>
      <c r="CC16" s="86">
        <v>45854</v>
      </c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</row>
    <row r="17" spans="1:99" ht="35" customHeight="1">
      <c r="A17" s="71" t="s">
        <v>31</v>
      </c>
      <c r="B17" s="96">
        <v>-100</v>
      </c>
      <c r="C17" s="73" t="s">
        <v>293</v>
      </c>
      <c r="D17" s="97" t="s">
        <v>327</v>
      </c>
      <c r="E17" s="390" t="s">
        <v>465</v>
      </c>
      <c r="F17" s="319">
        <v>45323</v>
      </c>
      <c r="G17" s="73" t="s">
        <v>30</v>
      </c>
      <c r="H17" s="73" t="s">
        <v>170</v>
      </c>
      <c r="I17" s="73" t="s">
        <v>321</v>
      </c>
      <c r="J17" s="73" t="s">
        <v>379</v>
      </c>
      <c r="K17" s="74">
        <v>24987</v>
      </c>
      <c r="L17" s="73" t="s">
        <v>251</v>
      </c>
      <c r="M17" s="73" t="s">
        <v>301</v>
      </c>
      <c r="N17" s="73" t="s">
        <v>257</v>
      </c>
      <c r="O17" s="73" t="s">
        <v>283</v>
      </c>
      <c r="P17" s="73" t="s">
        <v>283</v>
      </c>
      <c r="Q17" s="73" t="s">
        <v>253</v>
      </c>
      <c r="R17" s="315">
        <v>0</v>
      </c>
      <c r="S17" s="73" t="s">
        <v>110</v>
      </c>
      <c r="T17" s="73">
        <v>73.09</v>
      </c>
      <c r="U17" s="98">
        <v>0</v>
      </c>
      <c r="V17" s="99">
        <f t="shared" si="0"/>
        <v>73.09</v>
      </c>
      <c r="W17" s="79"/>
      <c r="X17" s="79">
        <f t="shared" si="3"/>
        <v>179070.5</v>
      </c>
      <c r="Y17" s="79"/>
      <c r="Z17" s="79"/>
      <c r="AA17" s="88">
        <v>180000</v>
      </c>
      <c r="AB17" s="88">
        <v>2450</v>
      </c>
      <c r="AC17" s="104">
        <f t="shared" si="1"/>
        <v>1</v>
      </c>
      <c r="AD17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180000</v>
      </c>
      <c r="AE17" s="289">
        <f>Tabla4[[#This Row],[VALOR TOTAL]]-Tabla4[[#This Row],[MONTO A MULTIBANK]]</f>
        <v>50000</v>
      </c>
      <c r="AF17" s="79">
        <f>Tabla4[[#This Row],[MONTO CPP]]</f>
        <v>130000</v>
      </c>
      <c r="AG17" s="79">
        <f>ABONOS!E18</f>
        <v>0</v>
      </c>
      <c r="AH17" s="346" t="str" cm="1">
        <f t="array" ref="AH17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17" s="347" t="s">
        <v>401</v>
      </c>
      <c r="AJ17" s="371"/>
      <c r="AK17" s="372"/>
      <c r="AL17" s="345" t="s">
        <v>278</v>
      </c>
      <c r="AM17" s="83">
        <v>45665</v>
      </c>
      <c r="AN17" s="83">
        <v>46030</v>
      </c>
      <c r="AO17" s="223" t="s">
        <v>278</v>
      </c>
      <c r="AP17" s="79">
        <v>130000</v>
      </c>
      <c r="AQ17" s="88" t="s">
        <v>116</v>
      </c>
      <c r="AR17" s="86">
        <v>45490</v>
      </c>
      <c r="AS17" s="79">
        <f t="shared" ref="AS17:AS26" si="4">AA17</f>
        <v>180000</v>
      </c>
      <c r="AT17" s="101">
        <v>30474578</v>
      </c>
      <c r="AU17" s="73" t="s">
        <v>272</v>
      </c>
      <c r="AV17" s="214" t="s">
        <v>120</v>
      </c>
      <c r="AW17" s="88">
        <f>ABONOS!O18</f>
        <v>0</v>
      </c>
      <c r="AX17" s="300" t="str" cm="1">
        <f t="array" ref="AX17">_xlfn.IFS(Tabla4[[#This Row],[MONTO5]]=0,"",Tabla4[[#This Row],[SALDO PENDIENTE3]]=0,"PAZ Y SALVO",Tabla4[[#This Row],[SALDO PENDIENTE3]]&gt;0,"PENDIENTE")</f>
        <v>PAZ Y SALVO</v>
      </c>
      <c r="AY17" s="281" t="s">
        <v>334</v>
      </c>
      <c r="AZ17" s="86">
        <v>45665</v>
      </c>
      <c r="BA17" s="100" t="s">
        <v>151</v>
      </c>
      <c r="BB17" s="86">
        <v>45673</v>
      </c>
      <c r="BC17" s="90">
        <f>Tabla4[[#This Row],[FECHA RECIBIDO MINUTA LIBERACION]]-Tabla4[[#This Row],[SOLICITUD DE MINUTA LIBERACIÓN]]</f>
        <v>8</v>
      </c>
      <c r="BD17" s="100" t="s">
        <v>151</v>
      </c>
      <c r="BE17" s="86">
        <v>45673</v>
      </c>
      <c r="BF17" s="280" t="s">
        <v>151</v>
      </c>
      <c r="BG17" s="350">
        <v>45673</v>
      </c>
      <c r="BH17" s="218" t="s">
        <v>120</v>
      </c>
      <c r="BI17" s="218" t="s">
        <v>120</v>
      </c>
      <c r="BJ17" s="282" t="s">
        <v>120</v>
      </c>
      <c r="BK17" s="218" t="s">
        <v>120</v>
      </c>
      <c r="BL17" s="86">
        <v>45716</v>
      </c>
      <c r="BM17" s="86">
        <v>45723</v>
      </c>
      <c r="BN17" s="86">
        <v>45727</v>
      </c>
      <c r="BO17" s="86">
        <v>45729</v>
      </c>
      <c r="BP17" s="90">
        <f>Tabla4[[#This Row],[RECEPCIÓN INTERINO]]-Tabla4[[#This Row],[ENVIO A INTERINO]]</f>
        <v>2</v>
      </c>
      <c r="BQ17" s="86">
        <v>45726</v>
      </c>
      <c r="BR17" s="86">
        <v>45705</v>
      </c>
      <c r="BS17" s="86">
        <v>45726</v>
      </c>
      <c r="BT17" s="86">
        <v>45726</v>
      </c>
      <c r="BU17" s="86">
        <v>45729</v>
      </c>
      <c r="BV17" s="282" t="s">
        <v>151</v>
      </c>
      <c r="BW17" s="218" t="s">
        <v>120</v>
      </c>
      <c r="BX17" s="86">
        <v>45734</v>
      </c>
      <c r="BY17" s="86">
        <v>45736</v>
      </c>
      <c r="BZ17" s="86">
        <v>45742</v>
      </c>
      <c r="CA17" s="86">
        <v>45742</v>
      </c>
      <c r="CB17" s="86">
        <v>45747</v>
      </c>
      <c r="CC17" s="135">
        <v>45610</v>
      </c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</row>
    <row r="18" spans="1:99" s="152" customFormat="1" ht="35" customHeight="1">
      <c r="A18" s="71" t="s">
        <v>32</v>
      </c>
      <c r="B18" s="96">
        <v>-100</v>
      </c>
      <c r="C18" s="73" t="s">
        <v>384</v>
      </c>
      <c r="D18" s="97" t="s">
        <v>327</v>
      </c>
      <c r="E18" s="390" t="s">
        <v>465</v>
      </c>
      <c r="F18" s="319">
        <v>45200</v>
      </c>
      <c r="G18" s="73" t="s">
        <v>383</v>
      </c>
      <c r="H18" s="73" t="s">
        <v>249</v>
      </c>
      <c r="I18" s="105" t="s">
        <v>320</v>
      </c>
      <c r="J18" s="105" t="s">
        <v>375</v>
      </c>
      <c r="K18" s="74">
        <v>26057</v>
      </c>
      <c r="L18" s="73" t="s">
        <v>251</v>
      </c>
      <c r="M18" s="73" t="s">
        <v>308</v>
      </c>
      <c r="N18" s="73" t="s">
        <v>250</v>
      </c>
      <c r="O18" s="73" t="s">
        <v>151</v>
      </c>
      <c r="P18" s="73"/>
      <c r="Q18" s="73" t="s">
        <v>151</v>
      </c>
      <c r="R18" s="315">
        <v>15000</v>
      </c>
      <c r="S18" s="73" t="s">
        <v>110</v>
      </c>
      <c r="T18" s="73">
        <v>73.98</v>
      </c>
      <c r="U18" s="98">
        <v>0</v>
      </c>
      <c r="V18" s="99">
        <f t="shared" si="0"/>
        <v>73.98</v>
      </c>
      <c r="W18" s="79"/>
      <c r="X18" s="79">
        <f t="shared" si="3"/>
        <v>181251</v>
      </c>
      <c r="Y18" s="79"/>
      <c r="Z18" s="79"/>
      <c r="AA18" s="88">
        <v>205422.3</v>
      </c>
      <c r="AB18" s="88">
        <v>2450</v>
      </c>
      <c r="AC18" s="104">
        <f t="shared" si="1"/>
        <v>1</v>
      </c>
      <c r="AD18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205422.3</v>
      </c>
      <c r="AE18" s="289">
        <f>Tabla4[[#This Row],[VALOR TOTAL]]-Tabla4[[#This Row],[MONTO A MULTIBANK]]</f>
        <v>61626.69</v>
      </c>
      <c r="AF18" s="79">
        <f>AA18*70%</f>
        <v>143795.60999999999</v>
      </c>
      <c r="AG18" s="79">
        <f>ABONOS!E19</f>
        <v>0</v>
      </c>
      <c r="AH18" s="300" t="str" cm="1">
        <f t="array" ref="AH18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18" s="150" t="s">
        <v>253</v>
      </c>
      <c r="AJ18" s="150" t="s">
        <v>253</v>
      </c>
      <c r="AK18" s="150" t="s">
        <v>253</v>
      </c>
      <c r="AL18" s="150" t="s">
        <v>253</v>
      </c>
      <c r="AM18" s="150" t="s">
        <v>253</v>
      </c>
      <c r="AN18" s="150" t="s">
        <v>253</v>
      </c>
      <c r="AO18" s="150" t="s">
        <v>253</v>
      </c>
      <c r="AP18" s="150" t="s">
        <v>253</v>
      </c>
      <c r="AQ18" s="88" t="s">
        <v>116</v>
      </c>
      <c r="AR18" s="86">
        <v>45246</v>
      </c>
      <c r="AS18" s="79">
        <f t="shared" si="4"/>
        <v>205422.3</v>
      </c>
      <c r="AT18" s="101">
        <v>30474577</v>
      </c>
      <c r="AU18" s="100" t="s">
        <v>252</v>
      </c>
      <c r="AV18" s="88">
        <v>1805</v>
      </c>
      <c r="AW18" s="88">
        <f>ABONOS!O19</f>
        <v>0</v>
      </c>
      <c r="AX18" s="300" t="str" cm="1">
        <f t="array" ref="AX18">_xlfn.IFS(Tabla4[[#This Row],[MONTO5]]=0,"",Tabla4[[#This Row],[SALDO PENDIENTE3]]=0,"PAZ Y SALVO",Tabla4[[#This Row],[SALDO PENDIENTE3]]&gt;0,"PENDIENTE")</f>
        <v>PAZ Y SALVO</v>
      </c>
      <c r="AY18" s="252" t="s">
        <v>334</v>
      </c>
      <c r="AZ18" s="86">
        <v>45428</v>
      </c>
      <c r="BA18" s="100" t="s">
        <v>151</v>
      </c>
      <c r="BB18" s="86">
        <v>45449</v>
      </c>
      <c r="BC18" s="90">
        <f>Tabla4[[#This Row],[FECHA RECIBIDO MINUTA LIBERACION]]-Tabla4[[#This Row],[SOLICITUD DE MINUTA LIBERACIÓN]]</f>
        <v>21</v>
      </c>
      <c r="BD18" s="100" t="s">
        <v>151</v>
      </c>
      <c r="BE18" s="86">
        <v>45450</v>
      </c>
      <c r="BF18" s="100" t="s">
        <v>253</v>
      </c>
      <c r="BG18" s="86" t="s">
        <v>253</v>
      </c>
      <c r="BH18" s="86" t="s">
        <v>253</v>
      </c>
      <c r="BI18" s="86" t="s">
        <v>253</v>
      </c>
      <c r="BJ18" s="91" t="s">
        <v>253</v>
      </c>
      <c r="BK18" s="86">
        <v>45449</v>
      </c>
      <c r="BL18" s="86">
        <v>45503</v>
      </c>
      <c r="BM18" s="86">
        <v>45454</v>
      </c>
      <c r="BN18" s="86">
        <v>45503</v>
      </c>
      <c r="BO18" s="86">
        <v>45526</v>
      </c>
      <c r="BP18" s="90">
        <f>Tabla4[[#This Row],[RECEPCIÓN INTERINO]]-Tabla4[[#This Row],[ENVIO A INTERINO]]</f>
        <v>23</v>
      </c>
      <c r="BQ18" s="86">
        <v>45527</v>
      </c>
      <c r="BR18" s="86">
        <v>45537</v>
      </c>
      <c r="BS18" s="86">
        <v>45539</v>
      </c>
      <c r="BT18" s="86">
        <v>45531</v>
      </c>
      <c r="BU18" s="86" t="s">
        <v>253</v>
      </c>
      <c r="BV18" s="91" t="s">
        <v>151</v>
      </c>
      <c r="BW18" s="86">
        <v>45450</v>
      </c>
      <c r="BX18" s="86">
        <v>45531</v>
      </c>
      <c r="BY18" s="86">
        <v>45567</v>
      </c>
      <c r="BZ18" s="86">
        <v>45568</v>
      </c>
      <c r="CA18" s="86" t="s">
        <v>253</v>
      </c>
      <c r="CB18" s="86" t="s">
        <v>253</v>
      </c>
      <c r="CC18" s="86">
        <v>45379</v>
      </c>
    </row>
    <row r="19" spans="1:99" s="152" customFormat="1" ht="35" customHeight="1">
      <c r="A19" s="71" t="s">
        <v>35</v>
      </c>
      <c r="B19" s="96">
        <v>-100</v>
      </c>
      <c r="C19" s="223" t="s">
        <v>449</v>
      </c>
      <c r="D19" s="97" t="s">
        <v>327</v>
      </c>
      <c r="E19" s="223" t="s">
        <v>465</v>
      </c>
      <c r="F19" s="319">
        <v>45717</v>
      </c>
      <c r="G19" s="223" t="s">
        <v>450</v>
      </c>
      <c r="H19" s="73" t="s">
        <v>139</v>
      </c>
      <c r="I19" s="105" t="s">
        <v>320</v>
      </c>
      <c r="J19" s="395" t="s">
        <v>472</v>
      </c>
      <c r="K19" s="74">
        <v>22768</v>
      </c>
      <c r="L19" s="223" t="s">
        <v>258</v>
      </c>
      <c r="M19" s="223" t="s">
        <v>451</v>
      </c>
      <c r="N19" s="73" t="s">
        <v>250</v>
      </c>
      <c r="O19" s="73" t="s">
        <v>151</v>
      </c>
      <c r="P19" s="73" t="s">
        <v>283</v>
      </c>
      <c r="Q19" s="73" t="s">
        <v>283</v>
      </c>
      <c r="R19" s="315"/>
      <c r="S19" s="73" t="s">
        <v>111</v>
      </c>
      <c r="T19" s="73">
        <v>110.82</v>
      </c>
      <c r="U19" s="98">
        <v>0</v>
      </c>
      <c r="V19" s="99">
        <f t="shared" si="0"/>
        <v>110.82</v>
      </c>
      <c r="W19" s="79"/>
      <c r="X19" s="79">
        <f t="shared" si="3"/>
        <v>271509</v>
      </c>
      <c r="Y19" s="79"/>
      <c r="Z19" s="79"/>
      <c r="AA19" s="88">
        <v>299000</v>
      </c>
      <c r="AB19" s="88">
        <v>2450</v>
      </c>
      <c r="AC19" s="104">
        <f t="shared" si="1"/>
        <v>1</v>
      </c>
      <c r="AD19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299000</v>
      </c>
      <c r="AE19" s="289">
        <f>Tabla4[[#This Row],[VALOR TOTAL]]-Tabla4[[#This Row],[MONTO A MULTIBANK]]</f>
        <v>89700</v>
      </c>
      <c r="AF19" s="79">
        <f>70%*AA19</f>
        <v>209300</v>
      </c>
      <c r="AG19" s="79">
        <f>ABONOS!E20</f>
        <v>0</v>
      </c>
      <c r="AH19" s="346" t="str" cm="1">
        <f t="array" ref="AH19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19" s="402" t="s">
        <v>253</v>
      </c>
      <c r="AJ19" s="402" t="s">
        <v>253</v>
      </c>
      <c r="AK19" s="402" t="s">
        <v>253</v>
      </c>
      <c r="AL19" s="402" t="s">
        <v>253</v>
      </c>
      <c r="AM19" s="402" t="s">
        <v>253</v>
      </c>
      <c r="AN19" s="402" t="s">
        <v>253</v>
      </c>
      <c r="AO19" s="402" t="s">
        <v>253</v>
      </c>
      <c r="AP19" s="150" t="s">
        <v>253</v>
      </c>
      <c r="AQ19" s="88" t="s">
        <v>116</v>
      </c>
      <c r="AR19" s="86">
        <v>45736</v>
      </c>
      <c r="AS19" s="79">
        <f t="shared" si="4"/>
        <v>299000</v>
      </c>
      <c r="AT19" s="100">
        <v>30474576</v>
      </c>
      <c r="AU19" s="280" t="s">
        <v>252</v>
      </c>
      <c r="AV19" s="88">
        <v>1967</v>
      </c>
      <c r="AW19" s="88">
        <f>ABONOS!O20</f>
        <v>0</v>
      </c>
      <c r="AX19" s="346" t="str" cm="1">
        <f t="array" ref="AX19">_xlfn.IFS(Tabla4[[#This Row],[MONTO5]]=0,"",Tabla4[[#This Row],[SALDO PENDIENTE3]]=0,"PAZ Y SALVO",Tabla4[[#This Row],[SALDO PENDIENTE3]]&gt;0,"PENDIENTE")</f>
        <v>PAZ Y SALVO</v>
      </c>
      <c r="AY19" s="252" t="s">
        <v>334</v>
      </c>
      <c r="AZ19" s="86">
        <v>45809</v>
      </c>
      <c r="BA19" s="280" t="s">
        <v>151</v>
      </c>
      <c r="BB19" s="86">
        <v>45821</v>
      </c>
      <c r="BC19" s="90">
        <f>Tabla4[[#This Row],[FECHA RECIBIDO MINUTA LIBERACION]]-Tabla4[[#This Row],[SOLICITUD DE MINUTA LIBERACIÓN]]</f>
        <v>12</v>
      </c>
      <c r="BD19" s="86">
        <v>45808</v>
      </c>
      <c r="BE19" s="86">
        <v>45808</v>
      </c>
      <c r="BF19" s="280" t="s">
        <v>253</v>
      </c>
      <c r="BG19" s="218" t="s">
        <v>253</v>
      </c>
      <c r="BH19" s="218" t="s">
        <v>253</v>
      </c>
      <c r="BI19" s="218" t="s">
        <v>253</v>
      </c>
      <c r="BJ19" s="282" t="s">
        <v>253</v>
      </c>
      <c r="BK19" s="86">
        <v>45809</v>
      </c>
      <c r="BL19" s="86">
        <v>45809</v>
      </c>
      <c r="BM19" s="218">
        <v>45833</v>
      </c>
      <c r="BN19" s="86">
        <v>45838</v>
      </c>
      <c r="BO19" s="86">
        <v>45842</v>
      </c>
      <c r="BP19" s="90">
        <f>Tabla4[[#This Row],[RECEPCIÓN INTERINO]]-Tabla4[[#This Row],[ENVIO A INTERINO]]</f>
        <v>4</v>
      </c>
      <c r="BQ19" s="86">
        <v>45874</v>
      </c>
      <c r="BR19" s="218">
        <v>45859</v>
      </c>
      <c r="BS19" s="86">
        <v>45874</v>
      </c>
      <c r="BT19" s="86">
        <v>45876</v>
      </c>
      <c r="BU19" s="218" t="s">
        <v>253</v>
      </c>
      <c r="BV19" s="282" t="s">
        <v>151</v>
      </c>
      <c r="BW19" s="218">
        <v>45809</v>
      </c>
      <c r="BX19" s="86">
        <v>45878</v>
      </c>
      <c r="BY19" s="86">
        <v>45887</v>
      </c>
      <c r="BZ19" s="86">
        <v>45893</v>
      </c>
      <c r="CA19" s="218" t="s">
        <v>253</v>
      </c>
      <c r="CB19" s="218" t="s">
        <v>253</v>
      </c>
      <c r="CC19" s="86">
        <v>45814</v>
      </c>
    </row>
    <row r="20" spans="1:99" ht="35" customHeight="1">
      <c r="A20" s="71" t="s">
        <v>37</v>
      </c>
      <c r="B20" s="96">
        <v>-100</v>
      </c>
      <c r="C20" s="73" t="s">
        <v>36</v>
      </c>
      <c r="D20" s="97" t="s">
        <v>327</v>
      </c>
      <c r="E20" s="223" t="s">
        <v>465</v>
      </c>
      <c r="F20" s="319">
        <v>44986</v>
      </c>
      <c r="G20" s="73">
        <v>111800167</v>
      </c>
      <c r="H20" s="73" t="s">
        <v>264</v>
      </c>
      <c r="I20" s="105" t="s">
        <v>322</v>
      </c>
      <c r="J20" s="105" t="s">
        <v>379</v>
      </c>
      <c r="K20" s="74">
        <v>30567</v>
      </c>
      <c r="L20" s="73" t="s">
        <v>251</v>
      </c>
      <c r="M20" s="73" t="s">
        <v>310</v>
      </c>
      <c r="N20" s="73" t="s">
        <v>250</v>
      </c>
      <c r="O20" s="73" t="s">
        <v>151</v>
      </c>
      <c r="P20" s="73" t="s">
        <v>283</v>
      </c>
      <c r="Q20" s="73" t="s">
        <v>253</v>
      </c>
      <c r="R20" s="315">
        <v>0</v>
      </c>
      <c r="S20" s="73" t="s">
        <v>111</v>
      </c>
      <c r="T20" s="73">
        <v>109.27</v>
      </c>
      <c r="U20" s="98">
        <v>0</v>
      </c>
      <c r="V20" s="99">
        <f t="shared" si="0"/>
        <v>109.27</v>
      </c>
      <c r="W20" s="79"/>
      <c r="X20" s="79">
        <f t="shared" si="3"/>
        <v>267711.5</v>
      </c>
      <c r="Y20" s="79"/>
      <c r="Z20" s="79"/>
      <c r="AA20" s="88">
        <f>250000</f>
        <v>250000</v>
      </c>
      <c r="AB20" s="88">
        <v>2450</v>
      </c>
      <c r="AC20" s="104">
        <f t="shared" si="1"/>
        <v>1</v>
      </c>
      <c r="AD20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250000</v>
      </c>
      <c r="AE20" s="289">
        <f>Tabla4[[#This Row],[VALOR TOTAL]]-Tabla4[[#This Row],[MONTO A MULTIBANK]]</f>
        <v>250000</v>
      </c>
      <c r="AF20" s="79">
        <v>0</v>
      </c>
      <c r="AG20" s="79">
        <f>ABONOS!E21</f>
        <v>0</v>
      </c>
      <c r="AH20" s="346" t="str" cm="1">
        <f t="array" ref="AH20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20" s="402" t="s">
        <v>253</v>
      </c>
      <c r="AJ20" s="402" t="s">
        <v>253</v>
      </c>
      <c r="AK20" s="402" t="s">
        <v>253</v>
      </c>
      <c r="AL20" s="402" t="s">
        <v>253</v>
      </c>
      <c r="AM20" s="402" t="s">
        <v>253</v>
      </c>
      <c r="AN20" s="402" t="s">
        <v>253</v>
      </c>
      <c r="AO20" s="402" t="s">
        <v>253</v>
      </c>
      <c r="AP20" s="150" t="s">
        <v>253</v>
      </c>
      <c r="AQ20" s="88" t="s">
        <v>116</v>
      </c>
      <c r="AR20" s="86">
        <v>45100</v>
      </c>
      <c r="AS20" s="79">
        <f t="shared" si="4"/>
        <v>250000</v>
      </c>
      <c r="AT20" s="101">
        <v>30474575</v>
      </c>
      <c r="AU20" s="280" t="s">
        <v>252</v>
      </c>
      <c r="AV20" s="88">
        <v>2078</v>
      </c>
      <c r="AW20" s="88">
        <f>ABONOS!O21</f>
        <v>0</v>
      </c>
      <c r="AX20" s="346" t="str" cm="1">
        <f t="array" ref="AX20">_xlfn.IFS(Tabla4[[#This Row],[MONTO5]]=0,"",Tabla4[[#This Row],[SALDO PENDIENTE3]]=0,"PAZ Y SALVO",Tabla4[[#This Row],[SALDO PENDIENTE3]]&gt;0,"PENDIENTE")</f>
        <v>PAZ Y SALVO</v>
      </c>
      <c r="AY20" s="252" t="s">
        <v>334</v>
      </c>
      <c r="AZ20" s="86">
        <v>45862</v>
      </c>
      <c r="BA20" s="280" t="s">
        <v>151</v>
      </c>
      <c r="BB20" s="86">
        <v>45869</v>
      </c>
      <c r="BC20" s="90">
        <f>Tabla4[[#This Row],[FECHA RECIBIDO MINUTA LIBERACION]]-Tabla4[[#This Row],[SOLICITUD DE MINUTA LIBERACIÓN]]</f>
        <v>7</v>
      </c>
      <c r="BD20" s="280" t="s">
        <v>151</v>
      </c>
      <c r="BE20" s="86">
        <v>45637</v>
      </c>
      <c r="BF20" s="280" t="s">
        <v>253</v>
      </c>
      <c r="BG20" s="218" t="s">
        <v>253</v>
      </c>
      <c r="BH20" s="218" t="s">
        <v>253</v>
      </c>
      <c r="BI20" s="218" t="s">
        <v>253</v>
      </c>
      <c r="BJ20" s="282" t="s">
        <v>253</v>
      </c>
      <c r="BK20" s="86">
        <v>45637</v>
      </c>
      <c r="BL20" s="86">
        <v>45637</v>
      </c>
      <c r="BM20" s="86">
        <v>45637</v>
      </c>
      <c r="BN20" s="86">
        <v>45945</v>
      </c>
      <c r="BO20" s="86">
        <v>45952</v>
      </c>
      <c r="BP20" s="90">
        <f>Tabla4[[#This Row],[RECEPCIÓN INTERINO]]-Tabla4[[#This Row],[ENVIO A INTERINO]]</f>
        <v>7</v>
      </c>
      <c r="BQ20" s="86">
        <v>45985</v>
      </c>
      <c r="BR20" s="86">
        <v>45968</v>
      </c>
      <c r="BS20" s="86">
        <v>45986</v>
      </c>
      <c r="BT20" s="86">
        <v>45986</v>
      </c>
      <c r="BU20" s="218" t="s">
        <v>253</v>
      </c>
      <c r="BV20" s="282" t="s">
        <v>151</v>
      </c>
      <c r="BW20" s="86">
        <v>45637</v>
      </c>
      <c r="BX20" s="86">
        <v>45988</v>
      </c>
      <c r="BY20" s="86">
        <v>45992</v>
      </c>
      <c r="BZ20" s="86">
        <v>46004</v>
      </c>
      <c r="CA20" s="218" t="s">
        <v>253</v>
      </c>
      <c r="CB20" s="218" t="s">
        <v>253</v>
      </c>
      <c r="CC20" s="86">
        <v>45649</v>
      </c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</row>
    <row r="21" spans="1:99" ht="35" customHeight="1">
      <c r="A21" s="71" t="s">
        <v>38</v>
      </c>
      <c r="B21" s="96">
        <v>-100</v>
      </c>
      <c r="C21" s="223" t="s">
        <v>463</v>
      </c>
      <c r="D21" s="97" t="s">
        <v>327</v>
      </c>
      <c r="E21" s="223" t="s">
        <v>465</v>
      </c>
      <c r="F21" s="319">
        <v>45793</v>
      </c>
      <c r="G21" s="223" t="s">
        <v>461</v>
      </c>
      <c r="H21" s="223" t="s">
        <v>462</v>
      </c>
      <c r="I21" s="223" t="s">
        <v>322</v>
      </c>
      <c r="J21" s="223" t="s">
        <v>469</v>
      </c>
      <c r="K21" s="74">
        <v>20513</v>
      </c>
      <c r="L21" s="223" t="s">
        <v>251</v>
      </c>
      <c r="M21" s="223" t="s">
        <v>441</v>
      </c>
      <c r="N21" s="223" t="s">
        <v>250</v>
      </c>
      <c r="O21" s="223" t="s">
        <v>151</v>
      </c>
      <c r="P21" s="223" t="s">
        <v>283</v>
      </c>
      <c r="Q21" s="223" t="s">
        <v>151</v>
      </c>
      <c r="R21" s="315">
        <v>15000</v>
      </c>
      <c r="S21" s="73" t="s">
        <v>110</v>
      </c>
      <c r="T21" s="73">
        <v>73.09</v>
      </c>
      <c r="U21" s="98">
        <v>0</v>
      </c>
      <c r="V21" s="99">
        <f t="shared" si="0"/>
        <v>73.09</v>
      </c>
      <c r="W21" s="79"/>
      <c r="X21" s="79">
        <f t="shared" si="3"/>
        <v>179070.5</v>
      </c>
      <c r="Y21" s="79"/>
      <c r="Z21" s="79"/>
      <c r="AA21" s="88">
        <v>205000</v>
      </c>
      <c r="AB21" s="88">
        <v>2450</v>
      </c>
      <c r="AC21" s="104">
        <f t="shared" si="1"/>
        <v>1</v>
      </c>
      <c r="AD21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205000</v>
      </c>
      <c r="AE21" s="289">
        <f>Tabla4[[#This Row],[VALOR TOTAL]]-Tabla4[[#This Row],[MONTO A MULTIBANK]]</f>
        <v>155000</v>
      </c>
      <c r="AF21" s="79">
        <v>50000</v>
      </c>
      <c r="AG21" s="79">
        <f>ABONOS!E22</f>
        <v>0</v>
      </c>
      <c r="AH21" s="346" t="str" cm="1">
        <f t="array" ref="AH21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21" s="347" t="s">
        <v>253</v>
      </c>
      <c r="AJ21" s="222" t="s">
        <v>253</v>
      </c>
      <c r="AK21" s="392" t="s">
        <v>253</v>
      </c>
      <c r="AL21" s="345" t="s">
        <v>253</v>
      </c>
      <c r="AM21" s="349" t="s">
        <v>253</v>
      </c>
      <c r="AN21" s="349" t="s">
        <v>253</v>
      </c>
      <c r="AO21" s="223" t="s">
        <v>253</v>
      </c>
      <c r="AP21" s="150" t="s">
        <v>253</v>
      </c>
      <c r="AQ21" s="88" t="s">
        <v>116</v>
      </c>
      <c r="AR21" s="86">
        <v>45800</v>
      </c>
      <c r="AS21" s="79">
        <f t="shared" si="4"/>
        <v>205000</v>
      </c>
      <c r="AT21" s="101">
        <v>30474574</v>
      </c>
      <c r="AU21" s="280" t="s">
        <v>252</v>
      </c>
      <c r="AV21" s="88">
        <v>1900</v>
      </c>
      <c r="AW21" s="88">
        <f>ABONOS!O22</f>
        <v>0</v>
      </c>
      <c r="AX21" s="346" t="str" cm="1">
        <f t="array" ref="AX21">_xlfn.IFS(Tabla4[[#This Row],[MONTO5]]=0,"",Tabla4[[#This Row],[SALDO PENDIENTE3]]=0,"PAZ Y SALVO",Tabla4[[#This Row],[SALDO PENDIENTE3]]&gt;0,"PENDIENTE")</f>
        <v>PAZ Y SALVO</v>
      </c>
      <c r="AY21" s="252" t="s">
        <v>334</v>
      </c>
      <c r="AZ21" s="86">
        <v>45875</v>
      </c>
      <c r="BA21" s="280" t="s">
        <v>151</v>
      </c>
      <c r="BB21" s="86">
        <v>45881</v>
      </c>
      <c r="BC21" s="90">
        <f>Tabla4[[#This Row],[FECHA RECIBIDO MINUTA LIBERACION]]-Tabla4[[#This Row],[SOLICITUD DE MINUTA LIBERACIÓN]]</f>
        <v>6</v>
      </c>
      <c r="BD21" s="280" t="s">
        <v>151</v>
      </c>
      <c r="BE21" s="86">
        <v>45883</v>
      </c>
      <c r="BF21" s="280" t="s">
        <v>253</v>
      </c>
      <c r="BG21" s="218" t="s">
        <v>253</v>
      </c>
      <c r="BH21" s="218" t="s">
        <v>253</v>
      </c>
      <c r="BI21" s="218" t="s">
        <v>253</v>
      </c>
      <c r="BJ21" s="282" t="s">
        <v>253</v>
      </c>
      <c r="BK21" s="86">
        <v>45889</v>
      </c>
      <c r="BL21" s="86">
        <v>45920</v>
      </c>
      <c r="BM21" s="86">
        <v>45892</v>
      </c>
      <c r="BN21" s="86">
        <v>45940</v>
      </c>
      <c r="BO21" s="86">
        <v>45950</v>
      </c>
      <c r="BP21" s="90">
        <f>Tabla4[[#This Row],[RECEPCIÓN INTERINO]]-Tabla4[[#This Row],[ENVIO A INTERINO]]</f>
        <v>10</v>
      </c>
      <c r="BQ21" s="86">
        <v>45950</v>
      </c>
      <c r="BR21" s="86">
        <v>45931</v>
      </c>
      <c r="BS21" s="86">
        <v>45951</v>
      </c>
      <c r="BT21" s="86">
        <v>45951</v>
      </c>
      <c r="BU21" s="218" t="s">
        <v>253</v>
      </c>
      <c r="BV21" s="282" t="s">
        <v>151</v>
      </c>
      <c r="BW21" s="86">
        <v>45951</v>
      </c>
      <c r="BX21" s="86">
        <v>45951</v>
      </c>
      <c r="BY21" s="86">
        <v>45959</v>
      </c>
      <c r="BZ21" s="86">
        <v>45961</v>
      </c>
      <c r="CA21" s="218" t="s">
        <v>253</v>
      </c>
      <c r="CB21" s="218" t="s">
        <v>253</v>
      </c>
      <c r="CC21" s="86">
        <v>45892</v>
      </c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</row>
    <row r="22" spans="1:99" ht="35" customHeight="1">
      <c r="A22" s="71" t="s">
        <v>41</v>
      </c>
      <c r="B22" s="96">
        <v>-100</v>
      </c>
      <c r="C22" s="73" t="s">
        <v>39</v>
      </c>
      <c r="D22" s="97" t="s">
        <v>327</v>
      </c>
      <c r="E22" s="390" t="s">
        <v>465</v>
      </c>
      <c r="F22" s="319">
        <v>45108</v>
      </c>
      <c r="G22" s="73" t="s">
        <v>40</v>
      </c>
      <c r="H22" s="73" t="s">
        <v>170</v>
      </c>
      <c r="I22" s="73" t="s">
        <v>321</v>
      </c>
      <c r="J22" s="73" t="s">
        <v>377</v>
      </c>
      <c r="K22" s="74">
        <v>32177</v>
      </c>
      <c r="L22" s="73" t="s">
        <v>258</v>
      </c>
      <c r="M22" s="73" t="s">
        <v>311</v>
      </c>
      <c r="N22" s="73" t="s">
        <v>250</v>
      </c>
      <c r="O22" s="73" t="s">
        <v>151</v>
      </c>
      <c r="P22" s="73" t="s">
        <v>283</v>
      </c>
      <c r="Q22" s="73" t="s">
        <v>283</v>
      </c>
      <c r="R22" s="315">
        <v>12000</v>
      </c>
      <c r="S22" s="73" t="s">
        <v>109</v>
      </c>
      <c r="T22" s="73">
        <v>59.94</v>
      </c>
      <c r="U22" s="98">
        <v>0</v>
      </c>
      <c r="V22" s="99">
        <f t="shared" si="0"/>
        <v>59.94</v>
      </c>
      <c r="W22" s="79"/>
      <c r="X22" s="79">
        <f t="shared" si="3"/>
        <v>146853</v>
      </c>
      <c r="Y22" s="79"/>
      <c r="Z22" s="79"/>
      <c r="AA22" s="88">
        <f>X22+W22+Y22+Z22</f>
        <v>146853</v>
      </c>
      <c r="AB22" s="88">
        <v>2450</v>
      </c>
      <c r="AC22" s="104">
        <f t="shared" si="1"/>
        <v>1</v>
      </c>
      <c r="AD22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146853</v>
      </c>
      <c r="AE22" s="289">
        <f>Tabla4[[#This Row],[VALOR TOTAL]]-Tabla4[[#This Row],[MONTO A MULTIBANK]]</f>
        <v>44055.900000000009</v>
      </c>
      <c r="AF22" s="79">
        <f>AA22*70%</f>
        <v>102797.09999999999</v>
      </c>
      <c r="AG22" s="79">
        <f>ABONOS!E23</f>
        <v>0</v>
      </c>
      <c r="AH22" s="300" t="str" cm="1">
        <f t="array" ref="AH22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22" s="150" t="s">
        <v>253</v>
      </c>
      <c r="AJ22" s="150" t="s">
        <v>253</v>
      </c>
      <c r="AK22" s="150" t="s">
        <v>253</v>
      </c>
      <c r="AL22" s="150" t="s">
        <v>253</v>
      </c>
      <c r="AM22" s="150" t="s">
        <v>253</v>
      </c>
      <c r="AN22" s="150" t="s">
        <v>253</v>
      </c>
      <c r="AO22" s="150" t="s">
        <v>253</v>
      </c>
      <c r="AP22" s="150" t="s">
        <v>253</v>
      </c>
      <c r="AQ22" s="88" t="s">
        <v>116</v>
      </c>
      <c r="AR22" s="86">
        <v>45167</v>
      </c>
      <c r="AS22" s="79">
        <f t="shared" si="4"/>
        <v>146853</v>
      </c>
      <c r="AT22" s="101">
        <v>30474573</v>
      </c>
      <c r="AU22" s="100" t="s">
        <v>252</v>
      </c>
      <c r="AV22" s="88">
        <v>450</v>
      </c>
      <c r="AW22" s="88">
        <f>ABONOS!O23</f>
        <v>0</v>
      </c>
      <c r="AX22" s="300" t="str" cm="1">
        <f t="array" ref="AX22">_xlfn.IFS(Tabla4[[#This Row],[MONTO5]]=0,"",Tabla4[[#This Row],[SALDO PENDIENTE3]]=0,"PAZ Y SALVO",Tabla4[[#This Row],[SALDO PENDIENTE3]]&gt;0,"PENDIENTE")</f>
        <v>PAZ Y SALVO</v>
      </c>
      <c r="AY22" s="103" t="s">
        <v>334</v>
      </c>
      <c r="AZ22" s="86">
        <v>45485</v>
      </c>
      <c r="BA22" s="100" t="s">
        <v>151</v>
      </c>
      <c r="BB22" s="86">
        <v>45497</v>
      </c>
      <c r="BC22" s="90">
        <f>Tabla4[[#This Row],[FECHA RECIBIDO MINUTA LIBERACION]]-Tabla4[[#This Row],[SOLICITUD DE MINUTA LIBERACIÓN]]</f>
        <v>12</v>
      </c>
      <c r="BD22" s="100" t="s">
        <v>151</v>
      </c>
      <c r="BE22" s="86">
        <v>45499</v>
      </c>
      <c r="BF22" s="100" t="s">
        <v>253</v>
      </c>
      <c r="BG22" s="86" t="s">
        <v>253</v>
      </c>
      <c r="BH22" s="86" t="s">
        <v>253</v>
      </c>
      <c r="BI22" s="86" t="s">
        <v>253</v>
      </c>
      <c r="BJ22" s="91" t="s">
        <v>253</v>
      </c>
      <c r="BK22" s="86">
        <v>45503</v>
      </c>
      <c r="BL22" s="86">
        <v>45543</v>
      </c>
      <c r="BM22" s="86">
        <v>45524</v>
      </c>
      <c r="BN22" s="86">
        <v>45530</v>
      </c>
      <c r="BO22" s="86">
        <v>45534</v>
      </c>
      <c r="BP22" s="90">
        <f>Tabla4[[#This Row],[RECEPCIÓN INTERINO]]-Tabla4[[#This Row],[ENVIO A INTERINO]]</f>
        <v>4</v>
      </c>
      <c r="BQ22" s="86">
        <v>45540</v>
      </c>
      <c r="BR22" s="86">
        <v>45540</v>
      </c>
      <c r="BS22" s="86">
        <v>45539</v>
      </c>
      <c r="BT22" s="86">
        <v>45540</v>
      </c>
      <c r="BU22" s="86" t="s">
        <v>253</v>
      </c>
      <c r="BV22" s="91" t="s">
        <v>151</v>
      </c>
      <c r="BW22" s="86">
        <v>45505</v>
      </c>
      <c r="BX22" s="86">
        <v>45544</v>
      </c>
      <c r="BY22" s="86">
        <v>45551</v>
      </c>
      <c r="BZ22" s="86">
        <v>45553</v>
      </c>
      <c r="CA22" s="86" t="s">
        <v>253</v>
      </c>
      <c r="CB22" s="86" t="s">
        <v>253</v>
      </c>
      <c r="CC22" s="86">
        <v>45548</v>
      </c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</row>
    <row r="23" spans="1:99" ht="35" customHeight="1" thickBot="1">
      <c r="A23" s="106" t="s">
        <v>44</v>
      </c>
      <c r="B23" s="107">
        <v>-100</v>
      </c>
      <c r="C23" s="108" t="s">
        <v>42</v>
      </c>
      <c r="D23" s="109" t="s">
        <v>327</v>
      </c>
      <c r="E23" s="391" t="s">
        <v>465</v>
      </c>
      <c r="F23" s="320">
        <v>44986</v>
      </c>
      <c r="G23" s="108" t="s">
        <v>43</v>
      </c>
      <c r="H23" s="108" t="s">
        <v>249</v>
      </c>
      <c r="I23" s="110" t="s">
        <v>320</v>
      </c>
      <c r="J23" s="110" t="s">
        <v>373</v>
      </c>
      <c r="K23" s="111">
        <v>25833</v>
      </c>
      <c r="L23" s="108" t="s">
        <v>251</v>
      </c>
      <c r="M23" s="108" t="s">
        <v>306</v>
      </c>
      <c r="N23" s="108" t="s">
        <v>250</v>
      </c>
      <c r="O23" s="108" t="s">
        <v>151</v>
      </c>
      <c r="P23" s="108" t="s">
        <v>283</v>
      </c>
      <c r="Q23" s="108" t="s">
        <v>253</v>
      </c>
      <c r="R23" s="316"/>
      <c r="S23" s="108" t="s">
        <v>108</v>
      </c>
      <c r="T23" s="108">
        <v>65.930000000000007</v>
      </c>
      <c r="U23" s="112">
        <v>0</v>
      </c>
      <c r="V23" s="113">
        <f t="shared" si="0"/>
        <v>65.930000000000007</v>
      </c>
      <c r="W23" s="114"/>
      <c r="X23" s="114">
        <f t="shared" si="3"/>
        <v>161528.50000000003</v>
      </c>
      <c r="Y23" s="114"/>
      <c r="Z23" s="114"/>
      <c r="AA23" s="115">
        <f>X23+W23+Y23+Z23</f>
        <v>161528.50000000003</v>
      </c>
      <c r="AB23" s="115">
        <v>2450</v>
      </c>
      <c r="AC23" s="304">
        <f t="shared" si="1"/>
        <v>0.99999999999999978</v>
      </c>
      <c r="AD23" s="116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161528.5</v>
      </c>
      <c r="AE23" s="288">
        <f>Tabla4[[#This Row],[VALOR TOTAL]]-Tabla4[[#This Row],[MONTO A MULTIBANK]]</f>
        <v>48458.550000000017</v>
      </c>
      <c r="AF23" s="114">
        <f>AA23*70%</f>
        <v>113069.95000000001</v>
      </c>
      <c r="AG23" s="114">
        <f>ABONOS!E24</f>
        <v>0</v>
      </c>
      <c r="AH23" s="301" t="str" cm="1">
        <f t="array" ref="AH23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23" s="119" t="s">
        <v>253</v>
      </c>
      <c r="AJ23" s="119" t="s">
        <v>253</v>
      </c>
      <c r="AK23" s="119" t="s">
        <v>253</v>
      </c>
      <c r="AL23" s="119" t="s">
        <v>253</v>
      </c>
      <c r="AM23" s="119" t="s">
        <v>253</v>
      </c>
      <c r="AN23" s="119" t="s">
        <v>253</v>
      </c>
      <c r="AO23" s="458" t="s">
        <v>253</v>
      </c>
      <c r="AP23" s="119" t="s">
        <v>253</v>
      </c>
      <c r="AQ23" s="115" t="s">
        <v>116</v>
      </c>
      <c r="AR23" s="117">
        <v>45073</v>
      </c>
      <c r="AS23" s="114">
        <f t="shared" si="4"/>
        <v>161528.50000000003</v>
      </c>
      <c r="AT23" s="120">
        <v>30474572</v>
      </c>
      <c r="AU23" s="118" t="s">
        <v>252</v>
      </c>
      <c r="AV23" s="115">
        <v>1550</v>
      </c>
      <c r="AW23" s="115">
        <f>ABONOS!O24</f>
        <v>77.099999999999909</v>
      </c>
      <c r="AX23" s="301" t="str" cm="1">
        <f t="array" ref="AX23">_xlfn.IFS(Tabla4[[#This Row],[MONTO5]]=0,"",Tabla4[[#This Row],[SALDO PENDIENTE3]]=0,"PAZ Y SALVO",Tabla4[[#This Row],[SALDO PENDIENTE3]]&gt;0,"PENDIENTE")</f>
        <v>PENDIENTE</v>
      </c>
      <c r="AY23" s="153" t="s">
        <v>334</v>
      </c>
      <c r="AZ23" s="117">
        <v>45455</v>
      </c>
      <c r="BA23" s="118" t="s">
        <v>151</v>
      </c>
      <c r="BB23" s="117">
        <v>45495</v>
      </c>
      <c r="BC23" s="122">
        <f>Tabla4[[#This Row],[FECHA RECIBIDO MINUTA LIBERACION]]-Tabla4[[#This Row],[SOLICITUD DE MINUTA LIBERACIÓN]]</f>
        <v>40</v>
      </c>
      <c r="BD23" s="118" t="s">
        <v>151</v>
      </c>
      <c r="BE23" s="117">
        <v>45458</v>
      </c>
      <c r="BF23" s="118" t="s">
        <v>253</v>
      </c>
      <c r="BG23" s="117" t="s">
        <v>253</v>
      </c>
      <c r="BH23" s="117" t="s">
        <v>253</v>
      </c>
      <c r="BI23" s="117" t="s">
        <v>253</v>
      </c>
      <c r="BJ23" s="123" t="s">
        <v>253</v>
      </c>
      <c r="BK23" s="117">
        <v>45510</v>
      </c>
      <c r="BL23" s="117">
        <v>45517</v>
      </c>
      <c r="BM23" s="117">
        <v>45510</v>
      </c>
      <c r="BN23" s="117">
        <v>45530</v>
      </c>
      <c r="BO23" s="117">
        <v>45533</v>
      </c>
      <c r="BP23" s="122">
        <f>Tabla4[[#This Row],[RECEPCIÓN INTERINO]]-Tabla4[[#This Row],[ENVIO A INTERINO]]</f>
        <v>3</v>
      </c>
      <c r="BQ23" s="117">
        <v>45544</v>
      </c>
      <c r="BR23" s="117">
        <v>45540</v>
      </c>
      <c r="BS23" s="117">
        <v>45539</v>
      </c>
      <c r="BT23" s="117">
        <v>45545</v>
      </c>
      <c r="BU23" s="117" t="s">
        <v>253</v>
      </c>
      <c r="BV23" s="123" t="s">
        <v>151</v>
      </c>
      <c r="BW23" s="117">
        <v>45511</v>
      </c>
      <c r="BX23" s="117">
        <v>45546</v>
      </c>
      <c r="BY23" s="117">
        <v>45547</v>
      </c>
      <c r="BZ23" s="117">
        <v>45553</v>
      </c>
      <c r="CA23" s="117" t="s">
        <v>253</v>
      </c>
      <c r="CB23" s="117" t="s">
        <v>253</v>
      </c>
      <c r="CC23" s="117">
        <v>45511</v>
      </c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</row>
    <row r="24" spans="1:99" ht="35" customHeight="1">
      <c r="A24" s="124" t="s">
        <v>47</v>
      </c>
      <c r="B24" s="125">
        <v>-200</v>
      </c>
      <c r="C24" s="126" t="s">
        <v>45</v>
      </c>
      <c r="D24" s="127" t="s">
        <v>327</v>
      </c>
      <c r="E24" s="211" t="s">
        <v>465</v>
      </c>
      <c r="F24" s="321">
        <v>45170</v>
      </c>
      <c r="G24" s="126" t="s">
        <v>46</v>
      </c>
      <c r="H24" s="126" t="s">
        <v>249</v>
      </c>
      <c r="I24" s="154" t="s">
        <v>320</v>
      </c>
      <c r="J24" s="154" t="s">
        <v>375</v>
      </c>
      <c r="K24" s="128">
        <v>23264</v>
      </c>
      <c r="L24" s="126" t="s">
        <v>251</v>
      </c>
      <c r="M24" s="126" t="s">
        <v>314</v>
      </c>
      <c r="N24" s="126" t="s">
        <v>250</v>
      </c>
      <c r="O24" s="126" t="s">
        <v>151</v>
      </c>
      <c r="P24" s="126" t="s">
        <v>151</v>
      </c>
      <c r="Q24" s="126" t="s">
        <v>151</v>
      </c>
      <c r="R24" s="317">
        <v>14000</v>
      </c>
      <c r="S24" s="126" t="s">
        <v>108</v>
      </c>
      <c r="T24" s="126">
        <v>65.930000000000007</v>
      </c>
      <c r="U24" s="129">
        <v>0</v>
      </c>
      <c r="V24" s="130">
        <f t="shared" si="0"/>
        <v>65.930000000000007</v>
      </c>
      <c r="W24" s="131"/>
      <c r="X24" s="131">
        <v>202000</v>
      </c>
      <c r="Y24" s="131"/>
      <c r="Z24" s="131"/>
      <c r="AA24" s="132">
        <f>X24+W24+Y24+Z24</f>
        <v>202000</v>
      </c>
      <c r="AB24" s="132">
        <v>2400</v>
      </c>
      <c r="AC24" s="133">
        <f t="shared" si="1"/>
        <v>1</v>
      </c>
      <c r="AD24" s="134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202000</v>
      </c>
      <c r="AE24" s="289">
        <f>Tabla4[[#This Row],[VALOR TOTAL]]-Tabla4[[#This Row],[MONTO A MULTIBANK]]</f>
        <v>70700</v>
      </c>
      <c r="AF24" s="285">
        <f>AA24*65%</f>
        <v>131300</v>
      </c>
      <c r="AG24" s="131">
        <f>ABONOS!E25</f>
        <v>0</v>
      </c>
      <c r="AH24" s="309" t="str" cm="1">
        <f t="array" ref="AH24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24" s="137" t="s">
        <v>122</v>
      </c>
      <c r="AJ24" s="155" t="s">
        <v>253</v>
      </c>
      <c r="AK24" s="155" t="s">
        <v>253</v>
      </c>
      <c r="AL24" s="138" t="s">
        <v>278</v>
      </c>
      <c r="AM24" s="141">
        <v>45456</v>
      </c>
      <c r="AN24" s="141">
        <v>45635</v>
      </c>
      <c r="AO24" s="126" t="s">
        <v>296</v>
      </c>
      <c r="AP24" s="131">
        <v>73016.960000000006</v>
      </c>
      <c r="AQ24" s="132" t="s">
        <v>116</v>
      </c>
      <c r="AR24" s="135">
        <v>45229</v>
      </c>
      <c r="AS24" s="131">
        <f t="shared" si="4"/>
        <v>202000</v>
      </c>
      <c r="AT24" s="142">
        <v>30474594</v>
      </c>
      <c r="AU24" s="136" t="s">
        <v>252</v>
      </c>
      <c r="AV24" s="132">
        <v>1870</v>
      </c>
      <c r="AW24" s="132">
        <f>ABONOS!O25</f>
        <v>0</v>
      </c>
      <c r="AX24" s="309" t="str" cm="1">
        <f t="array" ref="AX24">_xlfn.IFS(Tabla4[[#This Row],[MONTO5]]=0,"",Tabla4[[#This Row],[SALDO PENDIENTE3]]=0,"PAZ Y SALVO",Tabla4[[#This Row],[SALDO PENDIENTE3]]&gt;0,"PENDIENTE")</f>
        <v>PAZ Y SALVO</v>
      </c>
      <c r="AY24" s="156" t="s">
        <v>334</v>
      </c>
      <c r="AZ24" s="135">
        <v>45478</v>
      </c>
      <c r="BA24" s="136" t="s">
        <v>151</v>
      </c>
      <c r="BB24" s="135">
        <v>45497</v>
      </c>
      <c r="BC24" s="144">
        <f>Tabla4[[#This Row],[FECHA RECIBIDO MINUTA LIBERACION]]-Tabla4[[#This Row],[SOLICITUD DE MINUTA LIBERACIÓN]]</f>
        <v>19</v>
      </c>
      <c r="BD24" s="136" t="s">
        <v>151</v>
      </c>
      <c r="BE24" s="135">
        <v>45497</v>
      </c>
      <c r="BF24" s="136" t="s">
        <v>253</v>
      </c>
      <c r="BG24" s="135" t="s">
        <v>253</v>
      </c>
      <c r="BH24" s="135" t="s">
        <v>253</v>
      </c>
      <c r="BI24" s="135" t="s">
        <v>253</v>
      </c>
      <c r="BJ24" s="145" t="s">
        <v>253</v>
      </c>
      <c r="BK24" s="135">
        <v>45502</v>
      </c>
      <c r="BL24" s="135">
        <v>45533</v>
      </c>
      <c r="BM24" s="135">
        <v>45533</v>
      </c>
      <c r="BN24" s="135">
        <v>45533</v>
      </c>
      <c r="BO24" s="135">
        <v>45539</v>
      </c>
      <c r="BP24" s="144">
        <f>Tabla4[[#This Row],[RECEPCIÓN INTERINO]]-Tabla4[[#This Row],[ENVIO A INTERINO]]</f>
        <v>6</v>
      </c>
      <c r="BQ24" s="135">
        <v>45544</v>
      </c>
      <c r="BR24" s="135">
        <v>45539</v>
      </c>
      <c r="BS24" s="135">
        <v>45539</v>
      </c>
      <c r="BT24" s="135">
        <v>45545</v>
      </c>
      <c r="BU24" s="135" t="s">
        <v>253</v>
      </c>
      <c r="BV24" s="145" t="s">
        <v>151</v>
      </c>
      <c r="BW24" s="135">
        <v>45502</v>
      </c>
      <c r="BX24" s="135">
        <v>45546</v>
      </c>
      <c r="BY24" s="135">
        <v>45559</v>
      </c>
      <c r="BZ24" s="135">
        <v>45560</v>
      </c>
      <c r="CA24" s="135">
        <v>45560</v>
      </c>
      <c r="CB24" s="135">
        <v>45567</v>
      </c>
      <c r="CC24" s="135">
        <v>45536</v>
      </c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</row>
    <row r="25" spans="1:99" ht="35" customHeight="1">
      <c r="A25" s="475" t="s">
        <v>49</v>
      </c>
      <c r="B25" s="96">
        <v>-200</v>
      </c>
      <c r="C25" s="100" t="s">
        <v>48</v>
      </c>
      <c r="D25" s="476" t="s">
        <v>327</v>
      </c>
      <c r="E25" s="395" t="s">
        <v>465</v>
      </c>
      <c r="F25" s="477">
        <v>45292</v>
      </c>
      <c r="G25" s="100">
        <v>668069351</v>
      </c>
      <c r="H25" s="100" t="s">
        <v>139</v>
      </c>
      <c r="I25" s="105" t="s">
        <v>320</v>
      </c>
      <c r="J25" s="395" t="s">
        <v>487</v>
      </c>
      <c r="K25" s="86">
        <v>26279</v>
      </c>
      <c r="L25" s="100" t="s">
        <v>251</v>
      </c>
      <c r="M25" s="100" t="s">
        <v>314</v>
      </c>
      <c r="N25" s="100" t="s">
        <v>250</v>
      </c>
      <c r="O25" s="100" t="s">
        <v>151</v>
      </c>
      <c r="P25" s="100" t="s">
        <v>283</v>
      </c>
      <c r="Q25" s="100" t="s">
        <v>253</v>
      </c>
      <c r="R25" s="100" t="s">
        <v>253</v>
      </c>
      <c r="S25" s="100" t="s">
        <v>109</v>
      </c>
      <c r="T25" s="100">
        <v>59.94</v>
      </c>
      <c r="U25" s="98">
        <v>0</v>
      </c>
      <c r="V25" s="99">
        <f t="shared" si="0"/>
        <v>59.94</v>
      </c>
      <c r="W25" s="79"/>
      <c r="X25" s="79">
        <f t="shared" ref="X25:X45" si="5">AB25*T25</f>
        <v>143856</v>
      </c>
      <c r="Y25" s="79"/>
      <c r="Z25" s="79"/>
      <c r="AA25" s="88">
        <v>145000</v>
      </c>
      <c r="AB25" s="88">
        <v>2400</v>
      </c>
      <c r="AC25" s="104">
        <f t="shared" si="1"/>
        <v>0.99960620689655166</v>
      </c>
      <c r="AD25" s="478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144942.9</v>
      </c>
      <c r="AE25" s="289">
        <f>Tabla4[[#This Row],[VALOR TOTAL]]-Tabla4[[#This Row],[MONTO A MULTIBANK]]</f>
        <v>145000</v>
      </c>
      <c r="AF25" s="131">
        <v>0</v>
      </c>
      <c r="AG25" s="79">
        <f>ABONOS!E26</f>
        <v>57.100000000005821</v>
      </c>
      <c r="AH25" s="346" t="str" cm="1">
        <f t="array" ref="AH25">_xlfn.IFS(Tabla4[[#This Row],[RESERVADAS, VENDIDAS]]="DISPONIBLE","",Tabla4[[#This Row],[SALDO PENDIENTE]]=0,"PAZ Y SALVO",Tabla4[[#This Row],[SALDO PENDIENTE]]=Tabla4[[#This Row],[MONTO CPP]],"COBRO CPP",Tabla4[[#This Row],[SALDO PENDIENTE]]&gt;0,"PENDIENTE")</f>
        <v>PENDIENTE</v>
      </c>
      <c r="AI25" s="347" t="s">
        <v>253</v>
      </c>
      <c r="AJ25" s="222" t="s">
        <v>253</v>
      </c>
      <c r="AK25" s="222" t="s">
        <v>253</v>
      </c>
      <c r="AL25" s="479" t="s">
        <v>253</v>
      </c>
      <c r="AM25" s="480" t="s">
        <v>253</v>
      </c>
      <c r="AN25" s="480" t="s">
        <v>253</v>
      </c>
      <c r="AO25" s="100" t="s">
        <v>386</v>
      </c>
      <c r="AP25" s="150" t="s">
        <v>253</v>
      </c>
      <c r="AQ25" s="88" t="s">
        <v>116</v>
      </c>
      <c r="AR25" s="86">
        <v>45464</v>
      </c>
      <c r="AS25" s="79">
        <f t="shared" si="4"/>
        <v>145000</v>
      </c>
      <c r="AT25" s="101">
        <v>30474593</v>
      </c>
      <c r="AU25" s="280" t="s">
        <v>252</v>
      </c>
      <c r="AV25" s="88">
        <v>1593</v>
      </c>
      <c r="AW25" s="88">
        <f>ABONOS!O26</f>
        <v>0</v>
      </c>
      <c r="AX25" s="346" t="str" cm="1">
        <f t="array" ref="AX25">_xlfn.IFS(Tabla4[[#This Row],[MONTO5]]=0,"",Tabla4[[#This Row],[SALDO PENDIENTE3]]=0,"PAZ Y SALVO",Tabla4[[#This Row],[SALDO PENDIENTE3]]&gt;0,"PENDIENTE")</f>
        <v>PAZ Y SALVO</v>
      </c>
      <c r="AY25" s="103" t="s">
        <v>334</v>
      </c>
      <c r="AZ25" s="86">
        <v>45862</v>
      </c>
      <c r="BA25" s="280" t="s">
        <v>151</v>
      </c>
      <c r="BB25" s="86">
        <v>45869</v>
      </c>
      <c r="BC25" s="90">
        <f>Tabla4[[#This Row],[FECHA RECIBIDO MINUTA LIBERACION]]-Tabla4[[#This Row],[SOLICITUD DE MINUTA LIBERACIÓN]]</f>
        <v>7</v>
      </c>
      <c r="BD25" s="280" t="s">
        <v>151</v>
      </c>
      <c r="BE25" s="86">
        <v>45967</v>
      </c>
      <c r="BF25" s="280" t="s">
        <v>253</v>
      </c>
      <c r="BG25" s="218" t="s">
        <v>253</v>
      </c>
      <c r="BH25" s="218" t="s">
        <v>253</v>
      </c>
      <c r="BI25" s="218" t="s">
        <v>253</v>
      </c>
      <c r="BJ25" s="282" t="s">
        <v>482</v>
      </c>
      <c r="BK25" s="86">
        <v>45967</v>
      </c>
      <c r="BL25" s="86">
        <v>45969</v>
      </c>
      <c r="BM25" s="86">
        <v>45969</v>
      </c>
      <c r="BN25" s="86">
        <v>45975</v>
      </c>
      <c r="BO25" s="86">
        <v>45984</v>
      </c>
      <c r="BP25" s="90">
        <f>Tabla4[[#This Row],[RECEPCIÓN INTERINO]]-Tabla4[[#This Row],[ENVIO A INTERINO]]</f>
        <v>9</v>
      </c>
      <c r="BQ25" s="86">
        <v>45985</v>
      </c>
      <c r="BR25" s="86">
        <v>45968</v>
      </c>
      <c r="BS25" s="86">
        <v>45986</v>
      </c>
      <c r="BT25" s="86">
        <v>45986</v>
      </c>
      <c r="BU25" s="86" t="s">
        <v>253</v>
      </c>
      <c r="BV25" s="282" t="s">
        <v>151</v>
      </c>
      <c r="BW25" s="86">
        <v>45969</v>
      </c>
      <c r="BX25" s="86">
        <v>45988</v>
      </c>
      <c r="BY25" s="86">
        <v>45988</v>
      </c>
      <c r="BZ25" s="86">
        <v>45996</v>
      </c>
      <c r="CA25" s="218" t="s">
        <v>253</v>
      </c>
      <c r="CB25" s="218" t="s">
        <v>253</v>
      </c>
      <c r="CC25" s="86">
        <v>45478</v>
      </c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</row>
    <row r="26" spans="1:99" s="152" customFormat="1" ht="35" customHeight="1">
      <c r="A26" s="71" t="s">
        <v>50</v>
      </c>
      <c r="B26" s="96">
        <v>-200</v>
      </c>
      <c r="C26" s="223" t="s">
        <v>411</v>
      </c>
      <c r="D26" s="97" t="s">
        <v>327</v>
      </c>
      <c r="E26" s="390" t="s">
        <v>465</v>
      </c>
      <c r="F26" s="319">
        <v>45658</v>
      </c>
      <c r="G26" s="73" t="s">
        <v>412</v>
      </c>
      <c r="H26" s="73" t="s">
        <v>170</v>
      </c>
      <c r="I26" s="105" t="s">
        <v>321</v>
      </c>
      <c r="J26" s="395" t="s">
        <v>379</v>
      </c>
      <c r="K26" s="74">
        <v>31216</v>
      </c>
      <c r="L26" s="73" t="s">
        <v>258</v>
      </c>
      <c r="M26" s="73" t="s">
        <v>301</v>
      </c>
      <c r="N26" s="73" t="s">
        <v>257</v>
      </c>
      <c r="O26" s="73" t="s">
        <v>283</v>
      </c>
      <c r="P26" s="73" t="s">
        <v>283</v>
      </c>
      <c r="Q26" s="73" t="s">
        <v>253</v>
      </c>
      <c r="R26" s="73" t="s">
        <v>253</v>
      </c>
      <c r="S26" s="73" t="s">
        <v>110</v>
      </c>
      <c r="T26" s="73">
        <v>73.09</v>
      </c>
      <c r="U26" s="98">
        <v>0</v>
      </c>
      <c r="V26" s="99">
        <f t="shared" si="0"/>
        <v>73.09</v>
      </c>
      <c r="W26" s="79"/>
      <c r="X26" s="79">
        <f t="shared" si="5"/>
        <v>175416</v>
      </c>
      <c r="Y26" s="79"/>
      <c r="Z26" s="79"/>
      <c r="AA26" s="88">
        <v>187000</v>
      </c>
      <c r="AB26" s="88">
        <v>2400</v>
      </c>
      <c r="AC26" s="104">
        <f t="shared" si="1"/>
        <v>1</v>
      </c>
      <c r="AD26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187000</v>
      </c>
      <c r="AE26" s="289">
        <f>Tabla4[[#This Row],[VALOR TOTAL]]-Tabla4[[#This Row],[MONTO A MULTIBANK]]</f>
        <v>17692.690000000002</v>
      </c>
      <c r="AF26" s="79">
        <f>Tabla4[[#This Row],[MONTO CPP]]</f>
        <v>169307.31</v>
      </c>
      <c r="AG26" s="79">
        <f>ABONOS!E27</f>
        <v>0</v>
      </c>
      <c r="AH26" s="300" t="str" cm="1">
        <f t="array" ref="AH26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26" s="237" t="s">
        <v>402</v>
      </c>
      <c r="AJ26" s="79"/>
      <c r="AK26" s="79"/>
      <c r="AL26" s="222" t="s">
        <v>278</v>
      </c>
      <c r="AM26" s="83">
        <v>45728</v>
      </c>
      <c r="AN26" s="83">
        <v>46093</v>
      </c>
      <c r="AO26" s="223" t="s">
        <v>278</v>
      </c>
      <c r="AP26" s="79">
        <v>169307.31</v>
      </c>
      <c r="AQ26" s="88" t="s">
        <v>116</v>
      </c>
      <c r="AR26" s="86">
        <v>45677</v>
      </c>
      <c r="AS26" s="79">
        <f t="shared" si="4"/>
        <v>187000</v>
      </c>
      <c r="AT26" s="101">
        <v>30474592</v>
      </c>
      <c r="AU26" s="100" t="s">
        <v>120</v>
      </c>
      <c r="AV26" s="88" t="s">
        <v>120</v>
      </c>
      <c r="AW26" s="88">
        <f>ABONOS!O27</f>
        <v>0</v>
      </c>
      <c r="AX26" s="346" t="str" cm="1">
        <f t="array" ref="AX26">_xlfn.IFS(Tabla4[[#This Row],[MONTO5]]=0,"",Tabla4[[#This Row],[SALDO PENDIENTE3]]=0,"PAZ Y SALVO",Tabla4[[#This Row],[SALDO PENDIENTE3]]&gt;0,"PENDIENTE")</f>
        <v>PAZ Y SALVO</v>
      </c>
      <c r="AY26" s="103" t="s">
        <v>334</v>
      </c>
      <c r="AZ26" s="86">
        <v>45736</v>
      </c>
      <c r="BA26" s="280" t="s">
        <v>151</v>
      </c>
      <c r="BB26" s="86">
        <v>45749</v>
      </c>
      <c r="BC26" s="90">
        <f>Tabla4[[#This Row],[FECHA RECIBIDO MINUTA LIBERACION]]-Tabla4[[#This Row],[SOLICITUD DE MINUTA LIBERACIÓN]]</f>
        <v>13</v>
      </c>
      <c r="BD26" s="280" t="s">
        <v>151</v>
      </c>
      <c r="BE26" s="86">
        <v>45748</v>
      </c>
      <c r="BF26" s="280" t="s">
        <v>151</v>
      </c>
      <c r="BG26" s="86">
        <v>45744</v>
      </c>
      <c r="BH26" s="86">
        <v>45744</v>
      </c>
      <c r="BI26" s="86">
        <v>45757</v>
      </c>
      <c r="BJ26" s="223" t="s">
        <v>459</v>
      </c>
      <c r="BK26" s="218" t="s">
        <v>120</v>
      </c>
      <c r="BL26" s="86">
        <v>45771</v>
      </c>
      <c r="BM26" s="86">
        <v>45782</v>
      </c>
      <c r="BN26" s="86">
        <v>45772</v>
      </c>
      <c r="BO26" s="86">
        <v>45775</v>
      </c>
      <c r="BP26" s="90">
        <f>Tabla4[[#This Row],[RECEPCIÓN INTERINO]]-Tabla4[[#This Row],[ENVIO A INTERINO]]</f>
        <v>3</v>
      </c>
      <c r="BQ26" s="218">
        <v>45779</v>
      </c>
      <c r="BR26" s="86">
        <v>45762</v>
      </c>
      <c r="BS26" s="218">
        <v>45779</v>
      </c>
      <c r="BT26" s="218">
        <v>45779</v>
      </c>
      <c r="BU26" s="86">
        <v>45780</v>
      </c>
      <c r="BV26" s="280" t="s">
        <v>151</v>
      </c>
      <c r="BW26" s="86">
        <v>45770</v>
      </c>
      <c r="BX26" s="218">
        <v>45789</v>
      </c>
      <c r="BY26" s="86">
        <v>45792</v>
      </c>
      <c r="BZ26" s="86">
        <v>45804</v>
      </c>
      <c r="CA26" s="86">
        <v>45804</v>
      </c>
      <c r="CB26" s="86">
        <v>45811</v>
      </c>
      <c r="CC26" s="86">
        <v>45871</v>
      </c>
    </row>
    <row r="27" spans="1:99" ht="35" customHeight="1">
      <c r="A27" s="71" t="s">
        <v>51</v>
      </c>
      <c r="B27" s="84">
        <v>-200</v>
      </c>
      <c r="C27" s="223" t="s">
        <v>447</v>
      </c>
      <c r="D27" s="97" t="s">
        <v>327</v>
      </c>
      <c r="E27" s="223" t="s">
        <v>465</v>
      </c>
      <c r="F27" s="460">
        <v>45717</v>
      </c>
      <c r="G27" s="223" t="s">
        <v>448</v>
      </c>
      <c r="H27" s="223" t="s">
        <v>170</v>
      </c>
      <c r="I27" s="223" t="s">
        <v>321</v>
      </c>
      <c r="J27" s="223" t="s">
        <v>379</v>
      </c>
      <c r="K27" s="74">
        <v>21859</v>
      </c>
      <c r="L27" s="73" t="s">
        <v>258</v>
      </c>
      <c r="M27" s="73"/>
      <c r="N27" s="223" t="s">
        <v>250</v>
      </c>
      <c r="O27" s="73" t="s">
        <v>283</v>
      </c>
      <c r="P27" s="73" t="s">
        <v>283</v>
      </c>
      <c r="Q27" s="73" t="s">
        <v>253</v>
      </c>
      <c r="R27" s="73" t="s">
        <v>253</v>
      </c>
      <c r="S27" s="73" t="s">
        <v>110</v>
      </c>
      <c r="T27" s="73">
        <v>73.09</v>
      </c>
      <c r="U27" s="98">
        <v>0</v>
      </c>
      <c r="V27" s="99">
        <f t="shared" si="0"/>
        <v>73.09</v>
      </c>
      <c r="W27" s="79"/>
      <c r="X27" s="79">
        <f t="shared" si="5"/>
        <v>175416</v>
      </c>
      <c r="Y27" s="79"/>
      <c r="Z27" s="79"/>
      <c r="AA27" s="88">
        <v>183000</v>
      </c>
      <c r="AB27" s="88">
        <v>2400</v>
      </c>
      <c r="AC27" s="104">
        <f t="shared" si="1"/>
        <v>1</v>
      </c>
      <c r="AD27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183000</v>
      </c>
      <c r="AE27" s="289">
        <f>Tabla4[[#This Row],[VALOR TOTAL]]-AF27</f>
        <v>54900.000000000015</v>
      </c>
      <c r="AF27" s="79">
        <f>Tabla4[[#This Row],[VALOR TOTAL]]*70%</f>
        <v>128099.99999999999</v>
      </c>
      <c r="AG27" s="79">
        <f>ABONOS!E28</f>
        <v>0</v>
      </c>
      <c r="AH27" s="346" t="str" cm="1">
        <f t="array" ref="AH27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27" s="347" t="s">
        <v>253</v>
      </c>
      <c r="AJ27" s="222" t="s">
        <v>253</v>
      </c>
      <c r="AK27" s="392" t="s">
        <v>253</v>
      </c>
      <c r="AL27" s="345" t="s">
        <v>253</v>
      </c>
      <c r="AM27" s="349" t="s">
        <v>253</v>
      </c>
      <c r="AN27" s="349" t="s">
        <v>253</v>
      </c>
      <c r="AO27" s="402" t="s">
        <v>253</v>
      </c>
      <c r="AP27" s="150" t="s">
        <v>253</v>
      </c>
      <c r="AQ27" s="214" t="s">
        <v>116</v>
      </c>
      <c r="AR27" s="86">
        <v>45736</v>
      </c>
      <c r="AS27" s="79"/>
      <c r="AT27" s="101">
        <v>30474591</v>
      </c>
      <c r="AU27" s="280" t="s">
        <v>252</v>
      </c>
      <c r="AV27" s="102">
        <v>1619</v>
      </c>
      <c r="AW27" s="88">
        <f>ABONOS!O28</f>
        <v>0</v>
      </c>
      <c r="AX27" s="346" t="str" cm="1">
        <f t="array" ref="AX27">_xlfn.IFS(Tabla4[[#This Row],[MONTO5]]=0,"",Tabla4[[#This Row],[SALDO PENDIENTE3]]=0,"PAZ Y SALVO",Tabla4[[#This Row],[SALDO PENDIENTE3]]&gt;0,"PENDIENTE")</f>
        <v>PAZ Y SALVO</v>
      </c>
      <c r="AY27" s="103" t="s">
        <v>334</v>
      </c>
      <c r="AZ27" s="86">
        <v>45804</v>
      </c>
      <c r="BA27" s="280" t="s">
        <v>151</v>
      </c>
      <c r="BB27" s="218">
        <v>45814</v>
      </c>
      <c r="BC27" s="90">
        <f>Tabla4[[#This Row],[FECHA RECIBIDO MINUTA LIBERACION]]-Tabla4[[#This Row],[SOLICITUD DE MINUTA LIBERACIÓN]]</f>
        <v>10</v>
      </c>
      <c r="BD27" s="280" t="s">
        <v>151</v>
      </c>
      <c r="BE27" s="86">
        <v>45821</v>
      </c>
      <c r="BF27" s="280" t="s">
        <v>253</v>
      </c>
      <c r="BG27" s="218" t="s">
        <v>253</v>
      </c>
      <c r="BH27" s="218" t="s">
        <v>253</v>
      </c>
      <c r="BI27" s="218" t="s">
        <v>253</v>
      </c>
      <c r="BJ27" s="282" t="s">
        <v>253</v>
      </c>
      <c r="BK27" s="86">
        <v>45831</v>
      </c>
      <c r="BL27" s="86">
        <v>45835</v>
      </c>
      <c r="BM27" s="86">
        <v>45833</v>
      </c>
      <c r="BN27" s="86">
        <v>45838</v>
      </c>
      <c r="BO27" s="86">
        <v>45842</v>
      </c>
      <c r="BP27" s="90">
        <f>Tabla4[[#This Row],[RECEPCIÓN INTERINO]]-Tabla4[[#This Row],[ENVIO A INTERINO]]</f>
        <v>4</v>
      </c>
      <c r="BQ27" s="86">
        <v>45874</v>
      </c>
      <c r="BR27" s="218">
        <v>45859</v>
      </c>
      <c r="BS27" s="86">
        <v>45874</v>
      </c>
      <c r="BT27" s="86">
        <v>45876</v>
      </c>
      <c r="BU27" s="280" t="s">
        <v>253</v>
      </c>
      <c r="BV27" s="280" t="s">
        <v>151</v>
      </c>
      <c r="BW27" s="86">
        <v>45831</v>
      </c>
      <c r="BX27" s="398">
        <v>45878</v>
      </c>
      <c r="BY27" s="86">
        <v>45887</v>
      </c>
      <c r="BZ27" s="86">
        <v>45893</v>
      </c>
      <c r="CA27" s="280" t="s">
        <v>253</v>
      </c>
      <c r="CB27" s="280" t="s">
        <v>253</v>
      </c>
      <c r="CC27" s="86">
        <v>45803</v>
      </c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</row>
    <row r="28" spans="1:99" ht="35" customHeight="1">
      <c r="A28" s="55" t="s">
        <v>52</v>
      </c>
      <c r="B28" s="65">
        <v>-200</v>
      </c>
      <c r="C28" s="205" t="s">
        <v>445</v>
      </c>
      <c r="D28" s="205" t="s">
        <v>440</v>
      </c>
      <c r="E28" s="56" t="s">
        <v>330</v>
      </c>
      <c r="F28" s="344">
        <v>45712</v>
      </c>
      <c r="G28" s="56"/>
      <c r="H28" s="205" t="s">
        <v>170</v>
      </c>
      <c r="I28" s="205" t="s">
        <v>321</v>
      </c>
      <c r="J28" s="205" t="s">
        <v>379</v>
      </c>
      <c r="K28" s="57"/>
      <c r="L28" s="56" t="s">
        <v>251</v>
      </c>
      <c r="M28" s="205" t="s">
        <v>446</v>
      </c>
      <c r="N28" s="205" t="s">
        <v>250</v>
      </c>
      <c r="O28" s="56"/>
      <c r="P28" s="56"/>
      <c r="Q28" s="56"/>
      <c r="R28" s="56"/>
      <c r="S28" s="56" t="s">
        <v>110</v>
      </c>
      <c r="T28" s="56">
        <v>73.09</v>
      </c>
      <c r="U28" s="58">
        <v>0</v>
      </c>
      <c r="V28" s="59">
        <f t="shared" si="0"/>
        <v>73.09</v>
      </c>
      <c r="W28" s="60"/>
      <c r="X28" s="60">
        <f t="shared" si="5"/>
        <v>175416</v>
      </c>
      <c r="Y28" s="60"/>
      <c r="Z28" s="60"/>
      <c r="AA28" s="61">
        <v>187976.82</v>
      </c>
      <c r="AB28" s="61">
        <v>2400</v>
      </c>
      <c r="AC28" s="306">
        <f t="shared" si="1"/>
        <v>0.49474185168149987</v>
      </c>
      <c r="AD28" s="305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93000</v>
      </c>
      <c r="AE28" s="177">
        <f>Tabla4[[#This Row],[VALOR TOTAL]]-Tabla4[[#This Row],[MONTO A MULTIBANK]]</f>
        <v>187976.82</v>
      </c>
      <c r="AF28" s="60">
        <v>0</v>
      </c>
      <c r="AG28" s="60">
        <f>ABONOS!E29</f>
        <v>94976.82</v>
      </c>
      <c r="AH28" s="300" t="str" cm="1">
        <f t="array" ref="AH28">_xlfn.IFS(Tabla4[[#This Row],[RESERVADAS, VENDIDAS]]="DISPONIBLE","",Tabla4[[#This Row],[SALDO PENDIENTE]]=0,"PAZ Y SALVO",Tabla4[[#This Row],[SALDO PENDIENTE]]=Tabla4[[#This Row],[MONTO CPP]],"COBRO CPP",Tabla4[[#This Row],[SALDO PENDIENTE]]&gt;0,"PENDIENTE")</f>
        <v>PENDIENTE</v>
      </c>
      <c r="AI28" s="217" t="s">
        <v>253</v>
      </c>
      <c r="AJ28" s="216" t="s">
        <v>253</v>
      </c>
      <c r="AK28" s="388" t="s">
        <v>253</v>
      </c>
      <c r="AL28" s="387" t="s">
        <v>253</v>
      </c>
      <c r="AM28" s="386" t="s">
        <v>253</v>
      </c>
      <c r="AN28" s="386" t="s">
        <v>253</v>
      </c>
      <c r="AO28" s="149" t="s">
        <v>253</v>
      </c>
      <c r="AP28" s="94" t="s">
        <v>253</v>
      </c>
      <c r="AQ28" s="25" t="s">
        <v>116</v>
      </c>
      <c r="AR28" s="63">
        <v>45713</v>
      </c>
      <c r="AS28" s="60">
        <v>187976.82</v>
      </c>
      <c r="AT28" s="67">
        <v>30474590</v>
      </c>
      <c r="AU28" s="64"/>
      <c r="AV28" s="68"/>
      <c r="AW28" s="61">
        <f>ABONOS!O29</f>
        <v>0</v>
      </c>
      <c r="AX28" s="300" t="str" cm="1">
        <f t="array" ref="AX28">_xlfn.IFS(Tabla4[[#This Row],[MONTO5]]=0,"",Tabla4[[#This Row],[SALDO PENDIENTE3]]=0,"PAZ Y SALVO",Tabla4[[#This Row],[SALDO PENDIENTE3]]&gt;0,"PENDIENTE")</f>
        <v/>
      </c>
      <c r="AY28" s="212" t="s">
        <v>455</v>
      </c>
      <c r="AZ28" s="63">
        <v>45862</v>
      </c>
      <c r="BA28" s="213" t="s">
        <v>151</v>
      </c>
      <c r="BB28" s="63">
        <v>45869</v>
      </c>
      <c r="BC28" s="70">
        <f>Tabla4[[#This Row],[FECHA RECIBIDO MINUTA LIBERACION]]-Tabla4[[#This Row],[SOLICITUD DE MINUTA LIBERACIÓN]]</f>
        <v>7</v>
      </c>
      <c r="BD28" s="69"/>
      <c r="BE28" s="69"/>
      <c r="BF28" s="64"/>
      <c r="BG28" s="69"/>
      <c r="BH28" s="69"/>
      <c r="BI28" s="69"/>
      <c r="BJ28" s="69"/>
      <c r="BK28" s="69"/>
      <c r="BL28" s="64"/>
      <c r="BM28" s="69"/>
      <c r="BN28" s="69"/>
      <c r="BO28" s="69"/>
      <c r="BP28" s="70">
        <f>Tabla4[[#This Row],[RECEPCIÓN INTERINO]]-Tabla4[[#This Row],[ENVIO A INTERINO]]</f>
        <v>0</v>
      </c>
      <c r="BQ28" s="64"/>
      <c r="BR28" s="64"/>
      <c r="BS28" s="64"/>
      <c r="BT28" s="64"/>
      <c r="BU28" s="213" t="s">
        <v>253</v>
      </c>
      <c r="BV28" s="69"/>
      <c r="BW28" s="69"/>
      <c r="BX28" s="64"/>
      <c r="BY28" s="69"/>
      <c r="BZ28" s="69"/>
      <c r="CA28" s="64"/>
      <c r="CB28" s="64"/>
      <c r="CC28" s="63">
        <v>45813</v>
      </c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</row>
    <row r="29" spans="1:99" ht="35" customHeight="1">
      <c r="A29" s="55" t="s">
        <v>53</v>
      </c>
      <c r="B29" s="65">
        <v>-200</v>
      </c>
      <c r="C29" s="205" t="s">
        <v>403</v>
      </c>
      <c r="D29" s="205" t="s">
        <v>440</v>
      </c>
      <c r="E29" s="56" t="s">
        <v>330</v>
      </c>
      <c r="F29" s="238">
        <v>45658</v>
      </c>
      <c r="G29" s="56" t="s">
        <v>404</v>
      </c>
      <c r="H29" s="56" t="s">
        <v>264</v>
      </c>
      <c r="I29" s="56" t="s">
        <v>320</v>
      </c>
      <c r="J29" s="56" t="s">
        <v>379</v>
      </c>
      <c r="K29" s="57">
        <v>27955</v>
      </c>
      <c r="L29" s="56" t="s">
        <v>251</v>
      </c>
      <c r="M29" s="56" t="s">
        <v>407</v>
      </c>
      <c r="N29" s="56" t="s">
        <v>250</v>
      </c>
      <c r="O29" s="56" t="s">
        <v>151</v>
      </c>
      <c r="P29" s="56" t="s">
        <v>151</v>
      </c>
      <c r="Q29" s="56" t="s">
        <v>151</v>
      </c>
      <c r="R29" s="314">
        <v>15000</v>
      </c>
      <c r="S29" s="56" t="s">
        <v>110</v>
      </c>
      <c r="T29" s="56">
        <v>73.98</v>
      </c>
      <c r="U29" s="58">
        <v>0</v>
      </c>
      <c r="V29" s="59">
        <f t="shared" si="0"/>
        <v>73.98</v>
      </c>
      <c r="W29" s="60"/>
      <c r="X29" s="60">
        <f t="shared" si="5"/>
        <v>177552</v>
      </c>
      <c r="Y29" s="60"/>
      <c r="Z29" s="60"/>
      <c r="AA29" s="61">
        <v>198850</v>
      </c>
      <c r="AB29" s="61">
        <v>2400</v>
      </c>
      <c r="AC29" s="306">
        <f t="shared" si="1"/>
        <v>0</v>
      </c>
      <c r="AD29" s="305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0</v>
      </c>
      <c r="AE29" s="177">
        <f>Tabla4[[#This Row],[VALOR TOTAL]]-Tabla4[[#This Row],[MONTO A MULTIBANK]]</f>
        <v>198850</v>
      </c>
      <c r="AF29" s="60">
        <v>0</v>
      </c>
      <c r="AG29" s="60">
        <f>ABONOS!E30</f>
        <v>198850</v>
      </c>
      <c r="AH29" s="300" t="str" cm="1">
        <f t="array" ref="AH29">_xlfn.IFS(Tabla4[[#This Row],[RESERVADAS, VENDIDAS]]="DISPONIBLE","",Tabla4[[#This Row],[SALDO PENDIENTE]]=0,"PAZ Y SALVO",Tabla4[[#This Row],[SALDO PENDIENTE]]=Tabla4[[#This Row],[MONTO CPP]],"COBRO CPP",Tabla4[[#This Row],[SALDO PENDIENTE]]&gt;0,"PENDIENTE")</f>
        <v/>
      </c>
      <c r="AI29" s="217" t="s">
        <v>253</v>
      </c>
      <c r="AJ29" s="216" t="s">
        <v>253</v>
      </c>
      <c r="AK29" s="388" t="s">
        <v>253</v>
      </c>
      <c r="AL29" s="387" t="s">
        <v>253</v>
      </c>
      <c r="AM29" s="386" t="s">
        <v>253</v>
      </c>
      <c r="AN29" s="386" t="s">
        <v>253</v>
      </c>
      <c r="AO29" s="149" t="s">
        <v>253</v>
      </c>
      <c r="AP29" s="94" t="s">
        <v>253</v>
      </c>
      <c r="AQ29" s="25" t="s">
        <v>116</v>
      </c>
      <c r="AR29" s="63">
        <v>45688</v>
      </c>
      <c r="AT29" s="67">
        <v>30474589</v>
      </c>
      <c r="AU29" s="64"/>
      <c r="AV29" s="68"/>
      <c r="AW29" s="61">
        <f>ABONOS!O30</f>
        <v>0</v>
      </c>
      <c r="AX29" s="300" t="str" cm="1">
        <f t="array" ref="AX29">_xlfn.IFS(Tabla4[[#This Row],[MONTO5]]=0,"",Tabla4[[#This Row],[SALDO PENDIENTE3]]=0,"PAZ Y SALVO",Tabla4[[#This Row],[SALDO PENDIENTE3]]&gt;0,"PENDIENTE")</f>
        <v/>
      </c>
      <c r="AY29" s="212" t="s">
        <v>455</v>
      </c>
      <c r="AZ29" s="69"/>
      <c r="BA29" s="64"/>
      <c r="BB29" s="64"/>
      <c r="BC29" s="70">
        <f>Tabla4[[#This Row],[FECHA RECIBIDO MINUTA LIBERACION]]-Tabla4[[#This Row],[SOLICITUD DE MINUTA LIBERACIÓN]]</f>
        <v>0</v>
      </c>
      <c r="BD29" s="69"/>
      <c r="BE29" s="69"/>
      <c r="BF29" s="64"/>
      <c r="BG29" s="69"/>
      <c r="BH29" s="69"/>
      <c r="BI29" s="69"/>
      <c r="BJ29" s="69"/>
      <c r="BK29" s="69"/>
      <c r="BL29" s="64"/>
      <c r="BM29" s="69"/>
      <c r="BN29" s="69"/>
      <c r="BO29" s="69"/>
      <c r="BP29" s="70">
        <f>Tabla4[[#This Row],[RECEPCIÓN INTERINO]]-Tabla4[[#This Row],[ENVIO A INTERINO]]</f>
        <v>0</v>
      </c>
      <c r="BQ29" s="64"/>
      <c r="BR29" s="64"/>
      <c r="BS29" s="64"/>
      <c r="BT29" s="64"/>
      <c r="BU29" s="213" t="s">
        <v>253</v>
      </c>
      <c r="BV29" s="69"/>
      <c r="BW29" s="69"/>
      <c r="BX29" s="64"/>
      <c r="BY29" s="69"/>
      <c r="BZ29" s="69"/>
      <c r="CA29" s="64"/>
      <c r="CB29" s="64"/>
      <c r="CC29" s="63">
        <v>45870</v>
      </c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</row>
    <row r="30" spans="1:99" ht="35" customHeight="1">
      <c r="A30" s="71" t="s">
        <v>54</v>
      </c>
      <c r="B30" s="84">
        <v>-200</v>
      </c>
      <c r="C30" s="223" t="s">
        <v>405</v>
      </c>
      <c r="D30" s="97" t="s">
        <v>327</v>
      </c>
      <c r="E30" s="223" t="s">
        <v>465</v>
      </c>
      <c r="F30" s="319">
        <v>45658</v>
      </c>
      <c r="G30" s="73" t="s">
        <v>406</v>
      </c>
      <c r="H30" s="73" t="s">
        <v>170</v>
      </c>
      <c r="I30" s="73" t="s">
        <v>321</v>
      </c>
      <c r="J30" s="73" t="s">
        <v>379</v>
      </c>
      <c r="K30" s="74">
        <v>25201</v>
      </c>
      <c r="L30" s="73" t="s">
        <v>251</v>
      </c>
      <c r="M30" s="73" t="s">
        <v>314</v>
      </c>
      <c r="N30" s="73" t="s">
        <v>250</v>
      </c>
      <c r="O30" s="73" t="s">
        <v>283</v>
      </c>
      <c r="P30" s="73" t="s">
        <v>283</v>
      </c>
      <c r="Q30" s="73" t="s">
        <v>283</v>
      </c>
      <c r="R30" s="315">
        <v>0</v>
      </c>
      <c r="S30" s="73" t="s">
        <v>110</v>
      </c>
      <c r="T30" s="73">
        <v>73.98</v>
      </c>
      <c r="U30" s="98">
        <v>0</v>
      </c>
      <c r="V30" s="99">
        <f t="shared" si="0"/>
        <v>73.98</v>
      </c>
      <c r="W30" s="79"/>
      <c r="X30" s="79">
        <f t="shared" si="5"/>
        <v>177552</v>
      </c>
      <c r="Y30" s="79"/>
      <c r="Z30" s="79"/>
      <c r="AA30" s="88">
        <v>187000</v>
      </c>
      <c r="AB30" s="88">
        <v>2400</v>
      </c>
      <c r="AC30" s="104">
        <f t="shared" si="1"/>
        <v>1</v>
      </c>
      <c r="AD30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187000</v>
      </c>
      <c r="AE30" s="289">
        <f>Tabla4[[#This Row],[VALOR TOTAL]]-Tabla4[[#This Row],[MONTO A MULTIBANK]]</f>
        <v>56100.000000000015</v>
      </c>
      <c r="AF30" s="79">
        <f>Tabla4[[#This Row],[VALOR TOTAL]]*70%</f>
        <v>130899.99999999999</v>
      </c>
      <c r="AG30" s="79">
        <f>ABONOS!E31</f>
        <v>0</v>
      </c>
      <c r="AH30" s="346" t="str" cm="1">
        <f t="array" ref="AH30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30" s="150" t="s">
        <v>253</v>
      </c>
      <c r="AJ30" s="150" t="s">
        <v>253</v>
      </c>
      <c r="AK30" s="150" t="s">
        <v>253</v>
      </c>
      <c r="AL30" s="150" t="s">
        <v>253</v>
      </c>
      <c r="AM30" s="150" t="s">
        <v>253</v>
      </c>
      <c r="AN30" s="150" t="s">
        <v>253</v>
      </c>
      <c r="AO30" s="150" t="s">
        <v>253</v>
      </c>
      <c r="AP30" s="150" t="s">
        <v>253</v>
      </c>
      <c r="AQ30" s="88" t="s">
        <v>116</v>
      </c>
      <c r="AR30" s="86">
        <v>45676</v>
      </c>
      <c r="AS30" s="79">
        <f>Tabla4[[#This Row],[VALOR TOTAL]]</f>
        <v>187000</v>
      </c>
      <c r="AT30" s="101">
        <v>30474588</v>
      </c>
      <c r="AU30" s="280" t="s">
        <v>252</v>
      </c>
      <c r="AV30" s="102">
        <v>1330</v>
      </c>
      <c r="AW30" s="88">
        <f>ABONOS!O31</f>
        <v>0</v>
      </c>
      <c r="AX30" s="346" t="str" cm="1">
        <f t="array" ref="AX30">_xlfn.IFS(Tabla4[[#This Row],[MONTO5]]=0,"",Tabla4[[#This Row],[SALDO PENDIENTE3]]=0,"PAZ Y SALVO",Tabla4[[#This Row],[SALDO PENDIENTE3]]&gt;0,"PENDIENTE")</f>
        <v>PAZ Y SALVO</v>
      </c>
      <c r="AY30" s="158" t="s">
        <v>334</v>
      </c>
      <c r="AZ30" s="86">
        <v>45721</v>
      </c>
      <c r="BA30" s="280" t="s">
        <v>151</v>
      </c>
      <c r="BB30" s="86">
        <v>45729</v>
      </c>
      <c r="BC30" s="90">
        <f>Tabla4[[#This Row],[FECHA RECIBIDO MINUTA LIBERACION]]-Tabla4[[#This Row],[SOLICITUD DE MINUTA LIBERACIÓN]]</f>
        <v>8</v>
      </c>
      <c r="BD30" s="280" t="s">
        <v>151</v>
      </c>
      <c r="BE30" s="86">
        <v>45730</v>
      </c>
      <c r="BF30" s="280" t="s">
        <v>253</v>
      </c>
      <c r="BG30" s="280" t="s">
        <v>253</v>
      </c>
      <c r="BH30" s="280" t="s">
        <v>253</v>
      </c>
      <c r="BI30" s="280" t="s">
        <v>253</v>
      </c>
      <c r="BJ30" s="280" t="s">
        <v>456</v>
      </c>
      <c r="BK30" s="86">
        <v>45721</v>
      </c>
      <c r="BL30" s="86">
        <v>45728</v>
      </c>
      <c r="BM30" s="86">
        <v>45728</v>
      </c>
      <c r="BN30" s="86">
        <v>45740</v>
      </c>
      <c r="BO30" s="86">
        <v>45747</v>
      </c>
      <c r="BP30" s="90">
        <f>Tabla4[[#This Row],[RECEPCIÓN INTERINO]]-Tabla4[[#This Row],[ENVIO A INTERINO]]</f>
        <v>7</v>
      </c>
      <c r="BQ30" s="86">
        <v>45786</v>
      </c>
      <c r="BR30" s="86">
        <v>45762</v>
      </c>
      <c r="BS30" s="86">
        <v>45787</v>
      </c>
      <c r="BT30" s="86">
        <v>45787</v>
      </c>
      <c r="BU30" s="218" t="s">
        <v>253</v>
      </c>
      <c r="BV30" s="280" t="s">
        <v>151</v>
      </c>
      <c r="BW30" s="86">
        <v>45785</v>
      </c>
      <c r="BX30" s="86">
        <v>45786</v>
      </c>
      <c r="BY30" s="86">
        <v>45786</v>
      </c>
      <c r="BZ30" s="86">
        <v>45796</v>
      </c>
      <c r="CA30" s="218" t="s">
        <v>253</v>
      </c>
      <c r="CB30" s="218" t="s">
        <v>253</v>
      </c>
      <c r="CC30" s="86">
        <v>45727</v>
      </c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</row>
    <row r="31" spans="1:99" ht="35" customHeight="1">
      <c r="A31" s="71" t="s">
        <v>55</v>
      </c>
      <c r="B31" s="96">
        <v>-200</v>
      </c>
      <c r="C31" s="73" t="s">
        <v>331</v>
      </c>
      <c r="D31" s="97" t="s">
        <v>327</v>
      </c>
      <c r="E31" s="223" t="s">
        <v>465</v>
      </c>
      <c r="F31" s="319">
        <v>45474</v>
      </c>
      <c r="G31" s="73" t="s">
        <v>332</v>
      </c>
      <c r="H31" s="73" t="s">
        <v>170</v>
      </c>
      <c r="I31" s="73" t="s">
        <v>321</v>
      </c>
      <c r="J31" s="73" t="s">
        <v>379</v>
      </c>
      <c r="K31" s="74">
        <v>30976</v>
      </c>
      <c r="L31" s="73" t="s">
        <v>251</v>
      </c>
      <c r="M31" s="73"/>
      <c r="N31" s="73" t="s">
        <v>257</v>
      </c>
      <c r="O31" s="73"/>
      <c r="P31" s="73"/>
      <c r="Q31" s="73"/>
      <c r="R31" s="73"/>
      <c r="S31" s="73" t="s">
        <v>110</v>
      </c>
      <c r="T31" s="73">
        <v>73.09</v>
      </c>
      <c r="U31" s="98">
        <v>0</v>
      </c>
      <c r="V31" s="99">
        <f t="shared" si="0"/>
        <v>73.09</v>
      </c>
      <c r="W31" s="79"/>
      <c r="X31" s="79">
        <f t="shared" si="5"/>
        <v>175416</v>
      </c>
      <c r="Y31" s="79"/>
      <c r="Z31" s="79"/>
      <c r="AA31" s="88">
        <v>185000</v>
      </c>
      <c r="AB31" s="88">
        <v>2400</v>
      </c>
      <c r="AC31" s="104">
        <f t="shared" si="1"/>
        <v>0.97025064864864863</v>
      </c>
      <c r="AD31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179496.37</v>
      </c>
      <c r="AE31" s="289">
        <f>Tabla4[[#This Row],[VALOR TOTAL]]-Tabla4[[#This Row],[MONTO A MULTIBANK]]</f>
        <v>31000</v>
      </c>
      <c r="AF31" s="79">
        <f>Tabla4[[#This Row],[MONTO CPP]]</f>
        <v>154000</v>
      </c>
      <c r="AG31" s="79">
        <f>ABONOS!E32</f>
        <v>5503.630000000001</v>
      </c>
      <c r="AH31" s="300" t="str" cm="1">
        <f t="array" ref="AH31">_xlfn.IFS(Tabla4[[#This Row],[RESERVADAS, VENDIDAS]]="DISPONIBLE","",Tabla4[[#This Row],[SALDO PENDIENTE]]=0,"PAZ Y SALVO",Tabla4[[#This Row],[SALDO PENDIENTE]]=Tabla4[[#This Row],[MONTO CPP]],"COBRO CPP",Tabla4[[#This Row],[SALDO PENDIENTE]]&gt;0,"PENDIENTE")</f>
        <v>PENDIENTE</v>
      </c>
      <c r="AI31" s="84" t="s">
        <v>125</v>
      </c>
      <c r="AJ31" s="77" t="s">
        <v>362</v>
      </c>
      <c r="AK31" s="157" t="s">
        <v>333</v>
      </c>
      <c r="AL31" s="79" t="s">
        <v>278</v>
      </c>
      <c r="AM31" s="83">
        <v>45478</v>
      </c>
      <c r="AN31" s="150" t="s">
        <v>253</v>
      </c>
      <c r="AO31" s="223" t="s">
        <v>278</v>
      </c>
      <c r="AP31" s="79">
        <v>154000</v>
      </c>
      <c r="AQ31" s="88" t="s">
        <v>116</v>
      </c>
      <c r="AR31" s="86">
        <v>45484</v>
      </c>
      <c r="AS31" s="79">
        <v>185000</v>
      </c>
      <c r="AT31" s="101">
        <v>30474587</v>
      </c>
      <c r="AU31" s="100" t="s">
        <v>120</v>
      </c>
      <c r="AV31" s="88" t="s">
        <v>120</v>
      </c>
      <c r="AW31" s="88">
        <f>ABONOS!O32</f>
        <v>0</v>
      </c>
      <c r="AX31" s="300" t="str" cm="1">
        <f t="array" ref="AX31">_xlfn.IFS(Tabla4[[#This Row],[MONTO5]]=0,"",Tabla4[[#This Row],[SALDO PENDIENTE3]]=0,"PAZ Y SALVO",Tabla4[[#This Row],[SALDO PENDIENTE3]]&gt;0,"PENDIENTE")</f>
        <v>PAZ Y SALVO</v>
      </c>
      <c r="AY31" s="158" t="s">
        <v>334</v>
      </c>
      <c r="AZ31" s="86">
        <v>45483</v>
      </c>
      <c r="BA31" s="100" t="s">
        <v>151</v>
      </c>
      <c r="BB31" s="86">
        <v>45532</v>
      </c>
      <c r="BC31" s="90">
        <f>Tabla4[[#This Row],[FECHA RECIBIDO MINUTA LIBERACION]]-Tabla4[[#This Row],[SOLICITUD DE MINUTA LIBERACIÓN]]</f>
        <v>49</v>
      </c>
      <c r="BD31" s="100" t="s">
        <v>151</v>
      </c>
      <c r="BE31" s="86">
        <v>45535</v>
      </c>
      <c r="BF31" s="100" t="s">
        <v>151</v>
      </c>
      <c r="BG31" s="86">
        <v>45539</v>
      </c>
      <c r="BH31" s="86" t="s">
        <v>151</v>
      </c>
      <c r="BI31" s="86">
        <v>45561</v>
      </c>
      <c r="BJ31" s="100" t="s">
        <v>358</v>
      </c>
      <c r="BK31" s="86">
        <v>45547</v>
      </c>
      <c r="BL31" s="86">
        <v>45548</v>
      </c>
      <c r="BM31" s="86">
        <v>45551</v>
      </c>
      <c r="BN31" s="86">
        <v>45551</v>
      </c>
      <c r="BO31" s="86">
        <v>45555</v>
      </c>
      <c r="BP31" s="90">
        <f>Tabla4[[#This Row],[RECEPCIÓN INTERINO]]-Tabla4[[#This Row],[ENVIO A INTERINO]]</f>
        <v>4</v>
      </c>
      <c r="BQ31" s="86">
        <v>45555</v>
      </c>
      <c r="BR31" s="86">
        <v>45539</v>
      </c>
      <c r="BS31" s="86">
        <v>45554</v>
      </c>
      <c r="BT31" s="86">
        <v>45555</v>
      </c>
      <c r="BU31" s="86">
        <v>45558</v>
      </c>
      <c r="BV31" s="100" t="s">
        <v>151</v>
      </c>
      <c r="BW31" s="86">
        <v>45548</v>
      </c>
      <c r="BX31" s="86">
        <v>45567</v>
      </c>
      <c r="BY31" s="86">
        <v>45567</v>
      </c>
      <c r="BZ31" s="86">
        <v>45568</v>
      </c>
      <c r="CA31" s="86">
        <v>45568</v>
      </c>
      <c r="CB31" s="86">
        <v>45574</v>
      </c>
      <c r="CC31" s="86">
        <v>45577</v>
      </c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</row>
    <row r="32" spans="1:99" ht="35" customHeight="1">
      <c r="A32" s="71" t="s">
        <v>56</v>
      </c>
      <c r="B32" s="96">
        <v>-200</v>
      </c>
      <c r="C32" s="73" t="s">
        <v>57</v>
      </c>
      <c r="D32" s="97" t="s">
        <v>327</v>
      </c>
      <c r="E32" s="392" t="s">
        <v>465</v>
      </c>
      <c r="F32" s="319">
        <v>45413</v>
      </c>
      <c r="G32" s="73" t="s">
        <v>58</v>
      </c>
      <c r="H32" s="73" t="s">
        <v>170</v>
      </c>
      <c r="I32" s="73" t="s">
        <v>321</v>
      </c>
      <c r="J32" s="73" t="s">
        <v>379</v>
      </c>
      <c r="K32" s="74">
        <v>26994</v>
      </c>
      <c r="L32" s="73" t="s">
        <v>258</v>
      </c>
      <c r="M32" s="73" t="s">
        <v>307</v>
      </c>
      <c r="N32" s="73" t="s">
        <v>257</v>
      </c>
      <c r="O32" s="73"/>
      <c r="P32" s="73"/>
      <c r="Q32" s="73"/>
      <c r="R32" s="315"/>
      <c r="S32" s="73" t="s">
        <v>110</v>
      </c>
      <c r="T32" s="73">
        <v>73.09</v>
      </c>
      <c r="U32" s="98">
        <v>0</v>
      </c>
      <c r="V32" s="99">
        <f t="shared" si="0"/>
        <v>73.09</v>
      </c>
      <c r="W32" s="79"/>
      <c r="X32" s="79">
        <f t="shared" si="5"/>
        <v>175416</v>
      </c>
      <c r="Y32" s="79"/>
      <c r="Z32" s="79"/>
      <c r="AA32" s="88">
        <v>180000</v>
      </c>
      <c r="AB32" s="88">
        <v>2400</v>
      </c>
      <c r="AC32" s="104">
        <f t="shared" si="1"/>
        <v>1</v>
      </c>
      <c r="AD32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180000</v>
      </c>
      <c r="AE32" s="289">
        <f>Tabla4[[#This Row],[VALOR TOTAL]]-Tabla4[[#This Row],[MONTO A MULTIBANK]]</f>
        <v>27000</v>
      </c>
      <c r="AF32" s="79">
        <f>Tabla4[[#This Row],[MONTO CPP]]</f>
        <v>153000</v>
      </c>
      <c r="AG32" s="79">
        <f>ABONOS!E33</f>
        <v>0</v>
      </c>
      <c r="AH32" s="300" t="str" cm="1">
        <f t="array" ref="AH32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32" s="237" t="s">
        <v>402</v>
      </c>
      <c r="AJ32" s="79"/>
      <c r="AK32" s="79"/>
      <c r="AL32" s="146" t="s">
        <v>278</v>
      </c>
      <c r="AM32" s="83">
        <v>45533</v>
      </c>
      <c r="AN32" s="83">
        <v>45898</v>
      </c>
      <c r="AO32" s="223" t="s">
        <v>278</v>
      </c>
      <c r="AP32" s="79">
        <v>153000</v>
      </c>
      <c r="AQ32" s="88" t="s">
        <v>116</v>
      </c>
      <c r="AR32" s="86">
        <v>45505</v>
      </c>
      <c r="AS32" s="79">
        <f>AA32</f>
        <v>180000</v>
      </c>
      <c r="AT32" s="101">
        <v>30474586</v>
      </c>
      <c r="AU32" s="100" t="s">
        <v>120</v>
      </c>
      <c r="AV32" s="88" t="s">
        <v>120</v>
      </c>
      <c r="AW32" s="88">
        <f>ABONOS!O33</f>
        <v>0</v>
      </c>
      <c r="AX32" s="300" t="str" cm="1">
        <f t="array" ref="AX32">_xlfn.IFS(Tabla4[[#This Row],[MONTO5]]=0,"",Tabla4[[#This Row],[SALDO PENDIENTE3]]=0,"PAZ Y SALVO",Tabla4[[#This Row],[SALDO PENDIENTE3]]&gt;0,"PENDIENTE")</f>
        <v>PAZ Y SALVO</v>
      </c>
      <c r="AY32" s="253" t="s">
        <v>334</v>
      </c>
      <c r="AZ32" s="86">
        <v>45544</v>
      </c>
      <c r="BA32" s="100" t="s">
        <v>151</v>
      </c>
      <c r="BB32" s="86">
        <v>45565</v>
      </c>
      <c r="BC32" s="90">
        <f>Tabla4[[#This Row],[FECHA RECIBIDO MINUTA LIBERACION]]-Tabla4[[#This Row],[SOLICITUD DE MINUTA LIBERACIÓN]]</f>
        <v>21</v>
      </c>
      <c r="BD32" s="100" t="s">
        <v>151</v>
      </c>
      <c r="BE32" s="86">
        <v>45546</v>
      </c>
      <c r="BF32" s="100" t="s">
        <v>151</v>
      </c>
      <c r="BG32" s="86">
        <v>45565</v>
      </c>
      <c r="BH32" s="86">
        <v>45569</v>
      </c>
      <c r="BI32" s="86">
        <v>45551</v>
      </c>
      <c r="BJ32" s="73" t="s">
        <v>359</v>
      </c>
      <c r="BK32" s="86">
        <v>45580</v>
      </c>
      <c r="BL32" s="86">
        <v>45581</v>
      </c>
      <c r="BM32" s="86">
        <v>45582</v>
      </c>
      <c r="BN32" s="86">
        <v>45582</v>
      </c>
      <c r="BO32" s="86">
        <v>45583</v>
      </c>
      <c r="BP32" s="90">
        <f>Tabla4[[#This Row],[RECEPCIÓN INTERINO]]-Tabla4[[#This Row],[ENVIO A INTERINO]]</f>
        <v>1</v>
      </c>
      <c r="BQ32" s="86">
        <v>45582</v>
      </c>
      <c r="BR32" s="86">
        <v>45579</v>
      </c>
      <c r="BS32" s="86">
        <v>45582</v>
      </c>
      <c r="BT32" s="86">
        <v>45565</v>
      </c>
      <c r="BU32" s="86">
        <v>45583</v>
      </c>
      <c r="BV32" s="100" t="s">
        <v>151</v>
      </c>
      <c r="BW32" s="86">
        <v>45580</v>
      </c>
      <c r="BX32" s="86">
        <v>45587</v>
      </c>
      <c r="BY32" s="86">
        <v>45588</v>
      </c>
      <c r="BZ32" s="86">
        <v>45589</v>
      </c>
      <c r="CA32" s="86">
        <v>45589</v>
      </c>
      <c r="CB32" s="86">
        <v>45614</v>
      </c>
      <c r="CC32" s="86">
        <v>45656</v>
      </c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</row>
    <row r="33" spans="1:99" ht="35" customHeight="1">
      <c r="A33" s="71" t="s">
        <v>59</v>
      </c>
      <c r="B33" s="96">
        <v>-200</v>
      </c>
      <c r="C33" s="73" t="s">
        <v>367</v>
      </c>
      <c r="D33" s="97" t="s">
        <v>327</v>
      </c>
      <c r="E33" s="392" t="s">
        <v>465</v>
      </c>
      <c r="F33" s="319">
        <v>45597</v>
      </c>
      <c r="G33" s="73" t="s">
        <v>368</v>
      </c>
      <c r="H33" s="73" t="s">
        <v>170</v>
      </c>
      <c r="I33" s="73" t="s">
        <v>321</v>
      </c>
      <c r="J33" s="73" t="s">
        <v>379</v>
      </c>
      <c r="K33" s="74">
        <v>31874</v>
      </c>
      <c r="L33" s="73" t="s">
        <v>258</v>
      </c>
      <c r="M33" s="73" t="s">
        <v>369</v>
      </c>
      <c r="N33" s="73" t="s">
        <v>257</v>
      </c>
      <c r="O33" s="73" t="s">
        <v>283</v>
      </c>
      <c r="P33" s="73" t="s">
        <v>283</v>
      </c>
      <c r="Q33" s="73" t="s">
        <v>253</v>
      </c>
      <c r="R33" s="73"/>
      <c r="S33" s="73" t="s">
        <v>110</v>
      </c>
      <c r="T33" s="73">
        <v>73.09</v>
      </c>
      <c r="U33" s="98">
        <v>0</v>
      </c>
      <c r="V33" s="99">
        <f t="shared" si="0"/>
        <v>73.09</v>
      </c>
      <c r="W33" s="79"/>
      <c r="X33" s="79">
        <f t="shared" si="5"/>
        <v>175416</v>
      </c>
      <c r="Y33" s="79"/>
      <c r="Z33" s="79"/>
      <c r="AA33" s="88">
        <v>185000</v>
      </c>
      <c r="AB33" s="88">
        <v>2400</v>
      </c>
      <c r="AC33" s="104">
        <f t="shared" si="1"/>
        <v>1</v>
      </c>
      <c r="AD33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185000</v>
      </c>
      <c r="AE33" s="289">
        <f>Tabla4[[#This Row],[VALOR TOTAL]]-Tabla4[[#This Row],[MONTO A MULTIBANK]]</f>
        <v>31000</v>
      </c>
      <c r="AF33" s="79">
        <f>Tabla4[[#This Row],[MONTO CPP]]</f>
        <v>154000</v>
      </c>
      <c r="AG33" s="79">
        <f>ABONOS!E34</f>
        <v>0</v>
      </c>
      <c r="AH33" s="346" t="str" cm="1">
        <f t="array" ref="AH33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33" s="80" t="s">
        <v>125</v>
      </c>
      <c r="AJ33" s="348" t="s">
        <v>372</v>
      </c>
      <c r="AK33" s="157"/>
      <c r="AL33" s="345" t="s">
        <v>278</v>
      </c>
      <c r="AM33" s="83">
        <v>45660</v>
      </c>
      <c r="AN33" s="349" t="s">
        <v>253</v>
      </c>
      <c r="AO33" s="223" t="s">
        <v>278</v>
      </c>
      <c r="AP33" s="79">
        <v>154000</v>
      </c>
      <c r="AQ33" s="88" t="s">
        <v>116</v>
      </c>
      <c r="AR33" s="86">
        <v>45605</v>
      </c>
      <c r="AS33" s="79">
        <f>Tabla4[[#This Row],[VALOR TOTAL]]</f>
        <v>185000</v>
      </c>
      <c r="AT33" s="101">
        <v>30474585</v>
      </c>
      <c r="AU33" s="100" t="s">
        <v>120</v>
      </c>
      <c r="AV33" s="88" t="s">
        <v>120</v>
      </c>
      <c r="AW33" s="88">
        <f>ABONOS!O34</f>
        <v>0</v>
      </c>
      <c r="AX33" s="346" t="str" cm="1">
        <f t="array" ref="AX33">_xlfn.IFS(Tabla4[[#This Row],[MONTO5]]=0,"",Tabla4[[#This Row],[SALDO PENDIENTE3]]=0,"PAZ Y SALVO",Tabla4[[#This Row],[SALDO PENDIENTE3]]&gt;0,"PENDIENTE")</f>
        <v>PAZ Y SALVO</v>
      </c>
      <c r="AY33" s="158" t="s">
        <v>334</v>
      </c>
      <c r="AZ33" s="86">
        <v>45663</v>
      </c>
      <c r="BA33" s="280" t="s">
        <v>151</v>
      </c>
      <c r="BB33" s="86">
        <v>45673</v>
      </c>
      <c r="BC33" s="90">
        <f>Tabla4[[#This Row],[FECHA RECIBIDO MINUTA LIBERACION]]-Tabla4[[#This Row],[SOLICITUD DE MINUTA LIBERACIÓN]]</f>
        <v>10</v>
      </c>
      <c r="BD33" s="280" t="s">
        <v>151</v>
      </c>
      <c r="BE33" s="86">
        <v>45673</v>
      </c>
      <c r="BF33" s="100" t="s">
        <v>151</v>
      </c>
      <c r="BG33" s="350">
        <v>45673</v>
      </c>
      <c r="BH33" s="350">
        <v>45673</v>
      </c>
      <c r="BI33" s="86">
        <v>45691</v>
      </c>
      <c r="BJ33" s="91" t="s">
        <v>415</v>
      </c>
      <c r="BK33" s="86">
        <v>45701</v>
      </c>
      <c r="BL33" s="86">
        <v>45702</v>
      </c>
      <c r="BM33" s="86">
        <v>45707</v>
      </c>
      <c r="BN33" s="86">
        <v>45702</v>
      </c>
      <c r="BO33" s="86">
        <v>45702</v>
      </c>
      <c r="BP33" s="90">
        <f>Tabla4[[#This Row],[RECEPCIÓN INTERINO]]-Tabla4[[#This Row],[ENVIO A INTERINO]]</f>
        <v>0</v>
      </c>
      <c r="BQ33" s="86">
        <v>45706</v>
      </c>
      <c r="BR33" s="86">
        <v>45706</v>
      </c>
      <c r="BS33" s="86">
        <v>45706</v>
      </c>
      <c r="BT33" s="86">
        <v>45706</v>
      </c>
      <c r="BU33" s="86">
        <v>45706</v>
      </c>
      <c r="BV33" s="282" t="s">
        <v>151</v>
      </c>
      <c r="BW33" s="86">
        <v>45702</v>
      </c>
      <c r="BX33" s="86">
        <v>45722</v>
      </c>
      <c r="BY33" s="86">
        <v>45723</v>
      </c>
      <c r="BZ33" s="86">
        <v>45727</v>
      </c>
      <c r="CA33" s="86">
        <v>45727</v>
      </c>
      <c r="CB33" s="86">
        <v>45728</v>
      </c>
      <c r="CC33" s="86">
        <v>45656</v>
      </c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</row>
    <row r="34" spans="1:99" ht="35" customHeight="1">
      <c r="A34" s="71" t="s">
        <v>60</v>
      </c>
      <c r="B34" s="96">
        <v>-200</v>
      </c>
      <c r="C34" s="223" t="s">
        <v>347</v>
      </c>
      <c r="D34" s="97" t="s">
        <v>327</v>
      </c>
      <c r="E34" s="392" t="s">
        <v>465</v>
      </c>
      <c r="F34" s="319">
        <v>45505</v>
      </c>
      <c r="G34" s="73" t="s">
        <v>348</v>
      </c>
      <c r="H34" s="73" t="s">
        <v>139</v>
      </c>
      <c r="I34" s="73" t="s">
        <v>320</v>
      </c>
      <c r="J34" s="223" t="s">
        <v>373</v>
      </c>
      <c r="K34" s="74">
        <v>21589</v>
      </c>
      <c r="L34" s="73" t="s">
        <v>258</v>
      </c>
      <c r="M34" s="73" t="s">
        <v>349</v>
      </c>
      <c r="N34" s="73" t="s">
        <v>250</v>
      </c>
      <c r="O34" s="73" t="s">
        <v>151</v>
      </c>
      <c r="P34" s="73" t="s">
        <v>283</v>
      </c>
      <c r="Q34" s="73" t="s">
        <v>283</v>
      </c>
      <c r="R34" s="315">
        <v>14000</v>
      </c>
      <c r="S34" s="73" t="s">
        <v>109</v>
      </c>
      <c r="T34" s="73">
        <v>59.94</v>
      </c>
      <c r="U34" s="98">
        <v>0</v>
      </c>
      <c r="V34" s="99">
        <f t="shared" ref="V34:V65" si="6">U34+T34</f>
        <v>59.94</v>
      </c>
      <c r="W34" s="79"/>
      <c r="X34" s="79">
        <f t="shared" si="5"/>
        <v>143856</v>
      </c>
      <c r="Y34" s="79"/>
      <c r="Z34" s="79"/>
      <c r="AA34" s="88">
        <v>150000</v>
      </c>
      <c r="AB34" s="88">
        <v>2400</v>
      </c>
      <c r="AC34" s="104">
        <f t="shared" ref="AC34:AC65" si="7">((AD34*1)/AA34)</f>
        <v>1</v>
      </c>
      <c r="AD34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150000</v>
      </c>
      <c r="AE34" s="289">
        <f>Tabla4[[#This Row],[VALOR TOTAL]]-Tabla4[[#This Row],[MONTO A MULTIBANK]]</f>
        <v>45000</v>
      </c>
      <c r="AF34" s="79">
        <f>70%*AA34</f>
        <v>105000</v>
      </c>
      <c r="AG34" s="79">
        <f>ABONOS!E35</f>
        <v>0</v>
      </c>
      <c r="AH34" s="346" t="str" cm="1">
        <f t="array" ref="AH34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34" s="150" t="s">
        <v>253</v>
      </c>
      <c r="AJ34" s="150" t="s">
        <v>253</v>
      </c>
      <c r="AK34" s="150" t="s">
        <v>253</v>
      </c>
      <c r="AL34" s="150" t="s">
        <v>253</v>
      </c>
      <c r="AM34" s="150" t="s">
        <v>253</v>
      </c>
      <c r="AN34" s="150" t="s">
        <v>253</v>
      </c>
      <c r="AO34" s="283" t="s">
        <v>296</v>
      </c>
      <c r="AP34" s="150" t="s">
        <v>253</v>
      </c>
      <c r="AQ34" s="88" t="s">
        <v>116</v>
      </c>
      <c r="AR34" s="86">
        <v>45708</v>
      </c>
      <c r="AS34" s="79">
        <f>Tabla4[[#This Row],[VALOR TOTAL]]</f>
        <v>150000</v>
      </c>
      <c r="AT34" s="101">
        <v>30474584</v>
      </c>
      <c r="AU34" s="280" t="s">
        <v>252</v>
      </c>
      <c r="AV34" s="102">
        <v>950</v>
      </c>
      <c r="AW34" s="88">
        <f>ABONOS!O35</f>
        <v>0</v>
      </c>
      <c r="AX34" s="346" t="str" cm="1">
        <f t="array" ref="AX34">_xlfn.IFS(Tabla4[[#This Row],[MONTO5]]=0,"",Tabla4[[#This Row],[SALDO PENDIENTE3]]=0,"PAZ Y SALVO",Tabla4[[#This Row],[SALDO PENDIENTE3]]&gt;0,"PENDIENTE")</f>
        <v>PAZ Y SALVO</v>
      </c>
      <c r="AY34" s="158" t="s">
        <v>334</v>
      </c>
      <c r="AZ34" s="86">
        <v>45779</v>
      </c>
      <c r="BA34" s="280" t="s">
        <v>151</v>
      </c>
      <c r="BB34" s="86">
        <v>45784</v>
      </c>
      <c r="BC34" s="90">
        <f>Tabla4[[#This Row],[FECHA RECIBIDO MINUTA LIBERACION]]-Tabla4[[#This Row],[SOLICITUD DE MINUTA LIBERACIÓN]]</f>
        <v>5</v>
      </c>
      <c r="BD34" s="280" t="s">
        <v>151</v>
      </c>
      <c r="BE34" s="86">
        <v>45786</v>
      </c>
      <c r="BF34" s="280" t="s">
        <v>253</v>
      </c>
      <c r="BG34" s="218" t="s">
        <v>253</v>
      </c>
      <c r="BH34" s="218" t="s">
        <v>253</v>
      </c>
      <c r="BI34" s="218" t="s">
        <v>253</v>
      </c>
      <c r="BJ34" s="280" t="s">
        <v>253</v>
      </c>
      <c r="BK34" s="86">
        <v>45796</v>
      </c>
      <c r="BL34" s="86">
        <v>46038</v>
      </c>
      <c r="BM34" s="86">
        <v>45789</v>
      </c>
      <c r="BN34" s="86">
        <v>46041</v>
      </c>
      <c r="BO34" s="218">
        <v>46042</v>
      </c>
      <c r="BP34" s="90">
        <f>Tabla4[[#This Row],[RECEPCIÓN INTERINO]]-Tabla4[[#This Row],[ENVIO A INTERINO]]</f>
        <v>1</v>
      </c>
      <c r="BQ34" s="86">
        <v>46051</v>
      </c>
      <c r="BR34" s="86">
        <v>46043</v>
      </c>
      <c r="BS34" s="86">
        <v>46052</v>
      </c>
      <c r="BT34" s="86">
        <v>46052</v>
      </c>
      <c r="BU34" s="218" t="s">
        <v>253</v>
      </c>
      <c r="BV34" s="280" t="s">
        <v>151</v>
      </c>
      <c r="BW34" s="86">
        <v>46055</v>
      </c>
      <c r="BX34" s="86">
        <v>46055</v>
      </c>
      <c r="BY34" s="86">
        <v>46057</v>
      </c>
      <c r="BZ34" s="86">
        <v>46079</v>
      </c>
      <c r="CA34" s="218" t="s">
        <v>253</v>
      </c>
      <c r="CB34" s="218" t="s">
        <v>253</v>
      </c>
      <c r="CC34" s="86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</row>
    <row r="35" spans="1:99" ht="35" customHeight="1" thickBot="1">
      <c r="A35" s="106" t="s">
        <v>61</v>
      </c>
      <c r="B35" s="107">
        <v>-200</v>
      </c>
      <c r="C35" s="108" t="s">
        <v>339</v>
      </c>
      <c r="D35" s="221" t="s">
        <v>327</v>
      </c>
      <c r="E35" s="375" t="s">
        <v>465</v>
      </c>
      <c r="F35" s="320">
        <v>45505</v>
      </c>
      <c r="G35" s="108" t="s">
        <v>346</v>
      </c>
      <c r="H35" s="108" t="s">
        <v>170</v>
      </c>
      <c r="I35" s="108" t="s">
        <v>321</v>
      </c>
      <c r="J35" s="375" t="s">
        <v>379</v>
      </c>
      <c r="K35" s="111">
        <v>23297</v>
      </c>
      <c r="L35" s="108" t="s">
        <v>258</v>
      </c>
      <c r="M35" s="108" t="s">
        <v>337</v>
      </c>
      <c r="N35" s="108" t="s">
        <v>257</v>
      </c>
      <c r="O35" s="108" t="s">
        <v>253</v>
      </c>
      <c r="P35" s="108" t="s">
        <v>283</v>
      </c>
      <c r="Q35" s="108" t="s">
        <v>253</v>
      </c>
      <c r="R35" s="108"/>
      <c r="S35" s="108" t="s">
        <v>108</v>
      </c>
      <c r="T35" s="108">
        <v>65.930000000000007</v>
      </c>
      <c r="U35" s="112">
        <v>0</v>
      </c>
      <c r="V35" s="113">
        <f t="shared" si="6"/>
        <v>65.930000000000007</v>
      </c>
      <c r="W35" s="114"/>
      <c r="X35" s="114">
        <f t="shared" si="5"/>
        <v>158232.00000000003</v>
      </c>
      <c r="Y35" s="114"/>
      <c r="Z35" s="114"/>
      <c r="AA35" s="115">
        <v>172500</v>
      </c>
      <c r="AB35" s="115">
        <v>2400</v>
      </c>
      <c r="AC35" s="304">
        <f t="shared" si="7"/>
        <v>1</v>
      </c>
      <c r="AD35" s="116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172500</v>
      </c>
      <c r="AE35" s="288">
        <f>Tabla4[[#This Row],[VALOR TOTAL]]-Tabla4[[#This Row],[MONTO A MULTIBANK]]</f>
        <v>40000</v>
      </c>
      <c r="AF35" s="114">
        <f>Tabla4[[#This Row],[MONTO CPP]]</f>
        <v>132500</v>
      </c>
      <c r="AG35" s="114">
        <f>ABONOS!E36</f>
        <v>0</v>
      </c>
      <c r="AH35" s="301" t="str" cm="1">
        <f t="array" ref="AH35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35" s="303" t="s">
        <v>338</v>
      </c>
      <c r="AJ35" s="114"/>
      <c r="AK35" s="114"/>
      <c r="AL35" s="114" t="s">
        <v>278</v>
      </c>
      <c r="AM35" s="220">
        <v>45935</v>
      </c>
      <c r="AN35" s="164">
        <v>45662</v>
      </c>
      <c r="AO35" s="108"/>
      <c r="AP35" s="114">
        <v>132500</v>
      </c>
      <c r="AQ35" s="115" t="s">
        <v>116</v>
      </c>
      <c r="AR35" s="117">
        <v>45551</v>
      </c>
      <c r="AS35" s="114">
        <f>Tabla4[[#This Row],[VALOR TOTAL]]</f>
        <v>172500</v>
      </c>
      <c r="AT35" s="120">
        <v>30474583</v>
      </c>
      <c r="AU35" s="118" t="s">
        <v>120</v>
      </c>
      <c r="AV35" s="115" t="s">
        <v>120</v>
      </c>
      <c r="AW35" s="115">
        <f>ABONOS!O36</f>
        <v>0</v>
      </c>
      <c r="AX35" s="301" t="str" cm="1">
        <f t="array" ref="AX35">_xlfn.IFS(Tabla4[[#This Row],[MONTO5]]=0,"",Tabla4[[#This Row],[SALDO PENDIENTE3]]=0,"PAZ Y SALVO",Tabla4[[#This Row],[SALDO PENDIENTE3]]&gt;0,"PENDIENTE")</f>
        <v>PAZ Y SALVO</v>
      </c>
      <c r="AY35" s="236" t="s">
        <v>334</v>
      </c>
      <c r="AZ35" s="117">
        <v>45572</v>
      </c>
      <c r="BA35" s="118" t="s">
        <v>151</v>
      </c>
      <c r="BB35" s="117">
        <v>45580</v>
      </c>
      <c r="BC35" s="122">
        <f>Tabla4[[#This Row],[FECHA RECIBIDO MINUTA LIBERACION]]-Tabla4[[#This Row],[SOLICITUD DE MINUTA LIBERACIÓN]]</f>
        <v>8</v>
      </c>
      <c r="BD35" s="118" t="s">
        <v>151</v>
      </c>
      <c r="BE35" s="117">
        <v>45576</v>
      </c>
      <c r="BF35" s="118" t="s">
        <v>151</v>
      </c>
      <c r="BG35" s="117">
        <v>45580</v>
      </c>
      <c r="BH35" s="117" t="s">
        <v>253</v>
      </c>
      <c r="BI35" s="117" t="s">
        <v>253</v>
      </c>
      <c r="BJ35" s="118" t="s">
        <v>253</v>
      </c>
      <c r="BK35" s="117">
        <v>45593</v>
      </c>
      <c r="BL35" s="117">
        <v>45596</v>
      </c>
      <c r="BM35" s="117">
        <v>45598</v>
      </c>
      <c r="BN35" s="117">
        <v>45603</v>
      </c>
      <c r="BO35" s="117">
        <v>45611</v>
      </c>
      <c r="BP35" s="122">
        <f>Tabla4[[#This Row],[RECEPCIÓN INTERINO]]-Tabla4[[#This Row],[ENVIO A INTERINO]]</f>
        <v>8</v>
      </c>
      <c r="BQ35" s="117">
        <v>45602</v>
      </c>
      <c r="BR35" s="117">
        <v>45602</v>
      </c>
      <c r="BS35" s="117">
        <v>45602</v>
      </c>
      <c r="BT35" s="117">
        <v>45602</v>
      </c>
      <c r="BU35" s="117">
        <v>45604</v>
      </c>
      <c r="BV35" s="118" t="s">
        <v>151</v>
      </c>
      <c r="BW35" s="117">
        <v>45611</v>
      </c>
      <c r="BX35" s="117">
        <v>45614</v>
      </c>
      <c r="BY35" s="117">
        <v>45615</v>
      </c>
      <c r="BZ35" s="117">
        <v>45626</v>
      </c>
      <c r="CA35" s="117">
        <v>45626</v>
      </c>
      <c r="CB35" s="117">
        <v>45638</v>
      </c>
      <c r="CC35" s="467">
        <v>45626</v>
      </c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</row>
    <row r="36" spans="1:99" ht="35" customHeight="1">
      <c r="A36" s="124" t="s">
        <v>63</v>
      </c>
      <c r="B36" s="125">
        <v>-300</v>
      </c>
      <c r="C36" s="126" t="s">
        <v>335</v>
      </c>
      <c r="D36" s="97" t="s">
        <v>327</v>
      </c>
      <c r="E36" s="389" t="s">
        <v>465</v>
      </c>
      <c r="F36" s="321">
        <v>45323</v>
      </c>
      <c r="G36" s="126" t="s">
        <v>62</v>
      </c>
      <c r="H36" s="126" t="s">
        <v>139</v>
      </c>
      <c r="I36" s="154" t="s">
        <v>320</v>
      </c>
      <c r="J36" s="154" t="s">
        <v>378</v>
      </c>
      <c r="K36" s="128">
        <v>21988</v>
      </c>
      <c r="L36" s="126" t="s">
        <v>251</v>
      </c>
      <c r="M36" s="126" t="s">
        <v>314</v>
      </c>
      <c r="N36" s="126" t="s">
        <v>250</v>
      </c>
      <c r="O36" s="126" t="s">
        <v>151</v>
      </c>
      <c r="P36" s="126" t="s">
        <v>151</v>
      </c>
      <c r="Q36" s="126" t="s">
        <v>151</v>
      </c>
      <c r="R36" s="318">
        <v>16000</v>
      </c>
      <c r="S36" s="126" t="s">
        <v>108</v>
      </c>
      <c r="T36" s="126">
        <v>65.930000000000007</v>
      </c>
      <c r="U36" s="129">
        <v>0</v>
      </c>
      <c r="V36" s="130">
        <f t="shared" si="6"/>
        <v>65.930000000000007</v>
      </c>
      <c r="W36" s="131"/>
      <c r="X36" s="131">
        <f t="shared" si="5"/>
        <v>154935.50000000003</v>
      </c>
      <c r="Y36" s="131"/>
      <c r="Z36" s="131"/>
      <c r="AA36" s="132">
        <v>202000</v>
      </c>
      <c r="AB36" s="132">
        <v>2350</v>
      </c>
      <c r="AC36" s="133">
        <f t="shared" si="7"/>
        <v>1</v>
      </c>
      <c r="AD36" s="134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202000</v>
      </c>
      <c r="AE36" s="289">
        <f>Tabla4[[#This Row],[VALOR TOTAL]]-Tabla4[[#This Row],[MONTO A MULTIBANK]]</f>
        <v>60000</v>
      </c>
      <c r="AF36" s="131">
        <f>Tabla4[[#This Row],[MONTO CPP]]</f>
        <v>142000</v>
      </c>
      <c r="AG36" s="131">
        <f>ABONOS!E37</f>
        <v>0</v>
      </c>
      <c r="AH36" s="309" t="str" cm="1">
        <f t="array" ref="AH36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36" s="137" t="s">
        <v>122</v>
      </c>
      <c r="AJ36" s="209"/>
      <c r="AK36" s="210"/>
      <c r="AL36" s="211" t="s">
        <v>278</v>
      </c>
      <c r="AM36" s="141">
        <v>45544</v>
      </c>
      <c r="AN36" s="141">
        <v>45721</v>
      </c>
      <c r="AO36" s="126" t="s">
        <v>296</v>
      </c>
      <c r="AP36" s="131">
        <v>142000</v>
      </c>
      <c r="AQ36" s="132" t="s">
        <v>116</v>
      </c>
      <c r="AR36" s="135">
        <v>45465</v>
      </c>
      <c r="AS36" s="131">
        <f>AA36</f>
        <v>202000</v>
      </c>
      <c r="AT36" s="142">
        <v>30474606</v>
      </c>
      <c r="AU36" s="136" t="s">
        <v>252</v>
      </c>
      <c r="AV36" s="132">
        <v>2070</v>
      </c>
      <c r="AW36" s="132">
        <f>ABONOS!O37</f>
        <v>0</v>
      </c>
      <c r="AX36" s="309" t="str" cm="1">
        <f t="array" ref="AX36">_xlfn.IFS(Tabla4[[#This Row],[MONTO5]]=0,"",Tabla4[[#This Row],[SALDO PENDIENTE3]]=0,"PAZ Y SALVO",Tabla4[[#This Row],[SALDO PENDIENTE3]]&gt;0,"PENDIENTE")</f>
        <v>PAZ Y SALVO</v>
      </c>
      <c r="AY36" s="158" t="s">
        <v>334</v>
      </c>
      <c r="AZ36" s="135">
        <v>45555</v>
      </c>
      <c r="BA36" s="136" t="s">
        <v>151</v>
      </c>
      <c r="BB36" s="135">
        <v>45565</v>
      </c>
      <c r="BC36" s="144">
        <f>Tabla4[[#This Row],[FECHA RECIBIDO MINUTA LIBERACION]]-Tabla4[[#This Row],[SOLICITUD DE MINUTA LIBERACIÓN]]</f>
        <v>10</v>
      </c>
      <c r="BD36" s="136" t="s">
        <v>151</v>
      </c>
      <c r="BE36" s="135">
        <v>45567</v>
      </c>
      <c r="BF36" s="136" t="s">
        <v>253</v>
      </c>
      <c r="BG36" s="135">
        <v>45569</v>
      </c>
      <c r="BH36" s="135" t="s">
        <v>253</v>
      </c>
      <c r="BI36" s="135" t="s">
        <v>253</v>
      </c>
      <c r="BJ36" s="136" t="s">
        <v>253</v>
      </c>
      <c r="BK36" s="135">
        <v>45569</v>
      </c>
      <c r="BL36" s="135">
        <v>45598</v>
      </c>
      <c r="BM36" s="135">
        <v>45598</v>
      </c>
      <c r="BN36" s="135">
        <v>45603</v>
      </c>
      <c r="BO36" s="135">
        <v>45611</v>
      </c>
      <c r="BP36" s="144">
        <f>Tabla4[[#This Row],[RECEPCIÓN INTERINO]]-Tabla4[[#This Row],[ENVIO A INTERINO]]</f>
        <v>8</v>
      </c>
      <c r="BQ36" s="135">
        <v>45611</v>
      </c>
      <c r="BR36" s="135">
        <v>45602</v>
      </c>
      <c r="BS36" s="135">
        <v>45611</v>
      </c>
      <c r="BT36" s="135">
        <v>45611</v>
      </c>
      <c r="BU36" s="135" t="s">
        <v>253</v>
      </c>
      <c r="BV36" s="145" t="s">
        <v>151</v>
      </c>
      <c r="BW36" s="135">
        <v>45569</v>
      </c>
      <c r="BX36" s="135">
        <v>45614</v>
      </c>
      <c r="BY36" s="135">
        <v>45614</v>
      </c>
      <c r="BZ36" s="135">
        <v>45625</v>
      </c>
      <c r="CA36" s="135">
        <v>45625</v>
      </c>
      <c r="CB36" s="135">
        <v>45631</v>
      </c>
      <c r="CC36" s="135">
        <v>45600</v>
      </c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</row>
    <row r="37" spans="1:99" ht="35" customHeight="1">
      <c r="A37" s="71" t="s">
        <v>66</v>
      </c>
      <c r="B37" s="96">
        <v>-300</v>
      </c>
      <c r="C37" s="73" t="s">
        <v>64</v>
      </c>
      <c r="D37" s="97" t="s">
        <v>327</v>
      </c>
      <c r="E37" s="223" t="s">
        <v>465</v>
      </c>
      <c r="F37" s="319">
        <v>44986</v>
      </c>
      <c r="G37" s="73" t="s">
        <v>65</v>
      </c>
      <c r="H37" s="73" t="s">
        <v>139</v>
      </c>
      <c r="I37" s="105" t="s">
        <v>320</v>
      </c>
      <c r="J37" s="105" t="s">
        <v>379</v>
      </c>
      <c r="K37" s="74">
        <v>14256</v>
      </c>
      <c r="L37" s="73" t="s">
        <v>312</v>
      </c>
      <c r="M37" s="73" t="s">
        <v>314</v>
      </c>
      <c r="N37" s="73" t="s">
        <v>250</v>
      </c>
      <c r="O37" s="73" t="s">
        <v>253</v>
      </c>
      <c r="P37" s="73" t="s">
        <v>253</v>
      </c>
      <c r="Q37" s="73" t="s">
        <v>253</v>
      </c>
      <c r="R37" s="315">
        <v>0</v>
      </c>
      <c r="S37" s="73" t="s">
        <v>109</v>
      </c>
      <c r="T37" s="73">
        <v>59.94</v>
      </c>
      <c r="U37" s="98">
        <v>0</v>
      </c>
      <c r="V37" s="100">
        <f t="shared" si="6"/>
        <v>59.94</v>
      </c>
      <c r="W37" s="79"/>
      <c r="X37" s="79">
        <f t="shared" si="5"/>
        <v>137862</v>
      </c>
      <c r="Y37" s="79"/>
      <c r="Z37" s="79"/>
      <c r="AA37" s="88">
        <f>X37+W37+Y37+Z37</f>
        <v>137862</v>
      </c>
      <c r="AB37" s="88">
        <v>2300</v>
      </c>
      <c r="AC37" s="104">
        <f t="shared" si="7"/>
        <v>0.99981865923894908</v>
      </c>
      <c r="AD37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137837</v>
      </c>
      <c r="AE37" s="289">
        <f>Tabla4[[#This Row],[VALOR TOTAL]]-Tabla4[[#This Row],[MONTO A MULTIBANK]]</f>
        <v>41358.600000000006</v>
      </c>
      <c r="AF37" s="79">
        <f>AA37*70%</f>
        <v>96503.4</v>
      </c>
      <c r="AG37" s="79">
        <f>ABONOS!E38</f>
        <v>25.000000000007276</v>
      </c>
      <c r="AH37" s="300" t="str" cm="1">
        <f t="array" ref="AH37">_xlfn.IFS(Tabla4[[#This Row],[RESERVADAS, VENDIDAS]]="DISPONIBLE","",Tabla4[[#This Row],[SALDO PENDIENTE]]=0,"PAZ Y SALVO",Tabla4[[#This Row],[SALDO PENDIENTE]]=Tabla4[[#This Row],[MONTO CPP]],"COBRO CPP",Tabla4[[#This Row],[SALDO PENDIENTE]]&gt;0,"PENDIENTE")</f>
        <v>PENDIENTE</v>
      </c>
      <c r="AI37" s="150" t="s">
        <v>253</v>
      </c>
      <c r="AJ37" s="150" t="s">
        <v>253</v>
      </c>
      <c r="AK37" s="150" t="s">
        <v>253</v>
      </c>
      <c r="AL37" s="150" t="s">
        <v>253</v>
      </c>
      <c r="AM37" s="150" t="s">
        <v>253</v>
      </c>
      <c r="AN37" s="150" t="s">
        <v>253</v>
      </c>
      <c r="AO37" s="150" t="s">
        <v>253</v>
      </c>
      <c r="AP37" s="150" t="s">
        <v>253</v>
      </c>
      <c r="AQ37" s="88" t="s">
        <v>116</v>
      </c>
      <c r="AR37" s="86">
        <v>45093</v>
      </c>
      <c r="AS37" s="79">
        <f>AA37</f>
        <v>137862</v>
      </c>
      <c r="AT37" s="101">
        <v>30474605</v>
      </c>
      <c r="AU37" s="100" t="s">
        <v>252</v>
      </c>
      <c r="AV37" s="88">
        <v>1725</v>
      </c>
      <c r="AW37" s="88">
        <f>ABONOS!O38</f>
        <v>20</v>
      </c>
      <c r="AX37" s="300" t="str" cm="1">
        <f t="array" ref="AX37">_xlfn.IFS(Tabla4[[#This Row],[MONTO5]]=0,"",Tabla4[[#This Row],[SALDO PENDIENTE3]]=0,"PAZ Y SALVO",Tabla4[[#This Row],[SALDO PENDIENTE3]]&gt;0,"PENDIENTE")</f>
        <v>PENDIENTE</v>
      </c>
      <c r="AY37" s="158" t="s">
        <v>334</v>
      </c>
      <c r="AZ37" s="86">
        <v>45470</v>
      </c>
      <c r="BA37" s="100" t="s">
        <v>151</v>
      </c>
      <c r="BB37" s="86">
        <v>45495</v>
      </c>
      <c r="BC37" s="90">
        <f>Tabla4[[#This Row],[FECHA RECIBIDO MINUTA LIBERACION]]-Tabla4[[#This Row],[SOLICITUD DE MINUTA LIBERACIÓN]]</f>
        <v>25</v>
      </c>
      <c r="BD37" s="100" t="s">
        <v>151</v>
      </c>
      <c r="BE37" s="86">
        <v>45458</v>
      </c>
      <c r="BF37" s="100" t="s">
        <v>253</v>
      </c>
      <c r="BG37" s="86" t="s">
        <v>253</v>
      </c>
      <c r="BH37" s="86" t="s">
        <v>253</v>
      </c>
      <c r="BI37" s="86" t="s">
        <v>253</v>
      </c>
      <c r="BJ37" s="91" t="s">
        <v>253</v>
      </c>
      <c r="BK37" s="86">
        <v>45464</v>
      </c>
      <c r="BL37" s="86">
        <v>45469</v>
      </c>
      <c r="BM37" s="86">
        <v>45471</v>
      </c>
      <c r="BN37" s="86">
        <v>45516</v>
      </c>
      <c r="BO37" s="86">
        <v>45518</v>
      </c>
      <c r="BP37" s="90">
        <f>Tabla4[[#This Row],[RECEPCIÓN INTERINO]]-Tabla4[[#This Row],[ENVIO A INTERINO]]</f>
        <v>2</v>
      </c>
      <c r="BQ37" s="86">
        <v>45540</v>
      </c>
      <c r="BR37" s="86">
        <v>45537</v>
      </c>
      <c r="BS37" s="86">
        <v>45539</v>
      </c>
      <c r="BT37" s="86">
        <v>45542</v>
      </c>
      <c r="BU37" s="86" t="s">
        <v>253</v>
      </c>
      <c r="BV37" s="91" t="s">
        <v>151</v>
      </c>
      <c r="BW37" s="86">
        <v>45464</v>
      </c>
      <c r="BX37" s="86">
        <v>45544</v>
      </c>
      <c r="BY37" s="86">
        <v>45559</v>
      </c>
      <c r="BZ37" s="86">
        <v>45560</v>
      </c>
      <c r="CA37" s="86" t="s">
        <v>253</v>
      </c>
      <c r="CB37" s="86" t="s">
        <v>253</v>
      </c>
      <c r="CC37" s="86">
        <v>45575</v>
      </c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</row>
    <row r="38" spans="1:99" ht="35" customHeight="1">
      <c r="A38" s="71" t="s">
        <v>67</v>
      </c>
      <c r="B38" s="84">
        <v>-300</v>
      </c>
      <c r="C38" s="223" t="s">
        <v>479</v>
      </c>
      <c r="D38" s="97" t="s">
        <v>327</v>
      </c>
      <c r="E38" s="223" t="s">
        <v>465</v>
      </c>
      <c r="F38" s="319">
        <v>45971</v>
      </c>
      <c r="G38" s="223" t="s">
        <v>480</v>
      </c>
      <c r="H38" s="223" t="s">
        <v>170</v>
      </c>
      <c r="I38" s="223" t="s">
        <v>321</v>
      </c>
      <c r="J38" s="73"/>
      <c r="K38" s="74">
        <v>26653</v>
      </c>
      <c r="L38" s="223" t="s">
        <v>251</v>
      </c>
      <c r="M38" s="223" t="s">
        <v>481</v>
      </c>
      <c r="N38" s="223" t="s">
        <v>250</v>
      </c>
      <c r="O38" s="223" t="s">
        <v>283</v>
      </c>
      <c r="P38" s="223" t="s">
        <v>283</v>
      </c>
      <c r="Q38" s="73"/>
      <c r="R38" s="73"/>
      <c r="S38" s="73" t="s">
        <v>112</v>
      </c>
      <c r="T38" s="73">
        <v>73.09</v>
      </c>
      <c r="U38" s="98">
        <v>0</v>
      </c>
      <c r="V38" s="100">
        <f t="shared" si="6"/>
        <v>73.09</v>
      </c>
      <c r="W38" s="79"/>
      <c r="X38" s="79">
        <f t="shared" si="5"/>
        <v>171761.5</v>
      </c>
      <c r="Y38" s="79"/>
      <c r="Z38" s="79"/>
      <c r="AA38" s="88">
        <v>179900</v>
      </c>
      <c r="AB38" s="88">
        <v>2350</v>
      </c>
      <c r="AC38" s="104">
        <f t="shared" si="7"/>
        <v>1</v>
      </c>
      <c r="AD38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179900</v>
      </c>
      <c r="AE38" s="85">
        <f>Tabla4[[#This Row],[VALOR TOTAL]]</f>
        <v>179900</v>
      </c>
      <c r="AF38" s="79"/>
      <c r="AG38" s="79">
        <f>ABONOS!E39</f>
        <v>0</v>
      </c>
      <c r="AH38" s="346" t="str" cm="1">
        <f t="array" ref="AH38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38" s="347" t="s">
        <v>253</v>
      </c>
      <c r="AJ38" s="222" t="s">
        <v>253</v>
      </c>
      <c r="AK38" s="222" t="s">
        <v>253</v>
      </c>
      <c r="AL38" s="222" t="s">
        <v>253</v>
      </c>
      <c r="AM38" s="349" t="s">
        <v>253</v>
      </c>
      <c r="AN38" s="349" t="s">
        <v>253</v>
      </c>
      <c r="AO38" s="283" t="s">
        <v>296</v>
      </c>
      <c r="AP38" s="222" t="s">
        <v>253</v>
      </c>
      <c r="AQ38" s="214" t="s">
        <v>116</v>
      </c>
      <c r="AR38" s="86">
        <v>45985</v>
      </c>
      <c r="AS38" s="79">
        <v>179900</v>
      </c>
      <c r="AT38" s="101">
        <v>30474604</v>
      </c>
      <c r="AU38" s="280" t="s">
        <v>252</v>
      </c>
      <c r="AV38" s="102">
        <v>1750</v>
      </c>
      <c r="AW38" s="88">
        <f>ABONOS!O39</f>
        <v>0</v>
      </c>
      <c r="AX38" s="346" t="str" cm="1">
        <f t="array" ref="AX38">_xlfn.IFS(Tabla4[[#This Row],[MONTO5]]=0,"",Tabla4[[#This Row],[SALDO PENDIENTE3]]=0,"PAZ Y SALVO",Tabla4[[#This Row],[SALDO PENDIENTE3]]&gt;0,"PENDIENTE")</f>
        <v>PAZ Y SALVO</v>
      </c>
      <c r="AY38" s="158" t="s">
        <v>334</v>
      </c>
      <c r="AZ38" s="86">
        <v>46002</v>
      </c>
      <c r="BA38" s="280" t="s">
        <v>151</v>
      </c>
      <c r="BB38" s="86">
        <v>46010</v>
      </c>
      <c r="BC38" s="90">
        <f>Tabla4[[#This Row],[FECHA RECIBIDO MINUTA LIBERACION]]-Tabla4[[#This Row],[SOLICITUD DE MINUTA LIBERACIÓN]]</f>
        <v>8</v>
      </c>
      <c r="BD38" s="280" t="s">
        <v>151</v>
      </c>
      <c r="BE38" s="86">
        <v>46015</v>
      </c>
      <c r="BF38" s="280" t="s">
        <v>253</v>
      </c>
      <c r="BG38" s="280" t="s">
        <v>253</v>
      </c>
      <c r="BH38" s="218" t="s">
        <v>253</v>
      </c>
      <c r="BI38" s="218" t="s">
        <v>253</v>
      </c>
      <c r="BJ38" s="280" t="s">
        <v>253</v>
      </c>
      <c r="BK38" s="86">
        <v>46015</v>
      </c>
      <c r="BL38" s="86">
        <v>46026</v>
      </c>
      <c r="BM38" s="86">
        <v>46025</v>
      </c>
      <c r="BN38" s="86">
        <v>46025</v>
      </c>
      <c r="BO38" s="86">
        <v>46027</v>
      </c>
      <c r="BP38" s="90">
        <f>Tabla4[[#This Row],[RECEPCIÓN INTERINO]]-Tabla4[[#This Row],[ENVIO A INTERINO]]</f>
        <v>2</v>
      </c>
      <c r="BQ38" s="86">
        <v>46051</v>
      </c>
      <c r="BR38" s="86">
        <v>46043</v>
      </c>
      <c r="BS38" s="86">
        <v>46052</v>
      </c>
      <c r="BT38" s="86">
        <v>46052</v>
      </c>
      <c r="BU38" s="280" t="s">
        <v>253</v>
      </c>
      <c r="BV38" s="280" t="s">
        <v>151</v>
      </c>
      <c r="BW38" s="86">
        <v>46055</v>
      </c>
      <c r="BX38" s="86">
        <v>46055</v>
      </c>
      <c r="BY38" s="86">
        <v>46057</v>
      </c>
      <c r="BZ38" s="86">
        <v>46066</v>
      </c>
      <c r="CA38" s="280" t="s">
        <v>253</v>
      </c>
      <c r="CB38" s="280" t="s">
        <v>253</v>
      </c>
      <c r="CC38" s="86">
        <v>45996</v>
      </c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</row>
    <row r="39" spans="1:99" ht="35" customHeight="1">
      <c r="A39" s="71" t="s">
        <v>68</v>
      </c>
      <c r="B39" s="84">
        <v>-300</v>
      </c>
      <c r="C39" s="223" t="s">
        <v>501</v>
      </c>
      <c r="D39" s="97" t="s">
        <v>327</v>
      </c>
      <c r="E39" s="389" t="s">
        <v>465</v>
      </c>
      <c r="F39" s="319">
        <v>46137</v>
      </c>
      <c r="G39" s="223" t="s">
        <v>502</v>
      </c>
      <c r="H39" s="223" t="s">
        <v>170</v>
      </c>
      <c r="I39" s="223" t="s">
        <v>321</v>
      </c>
      <c r="J39" s="223" t="s">
        <v>504</v>
      </c>
      <c r="K39" s="74"/>
      <c r="L39" s="73"/>
      <c r="M39" s="223" t="s">
        <v>503</v>
      </c>
      <c r="N39" s="73"/>
      <c r="O39" s="223" t="s">
        <v>283</v>
      </c>
      <c r="P39" s="223" t="s">
        <v>283</v>
      </c>
      <c r="Q39" s="223" t="s">
        <v>283</v>
      </c>
      <c r="R39" s="223" t="s">
        <v>253</v>
      </c>
      <c r="S39" s="73" t="s">
        <v>112</v>
      </c>
      <c r="T39" s="73">
        <v>73.09</v>
      </c>
      <c r="U39" s="98">
        <v>0</v>
      </c>
      <c r="V39" s="100">
        <f t="shared" si="6"/>
        <v>73.09</v>
      </c>
      <c r="W39" s="79"/>
      <c r="X39" s="79">
        <f t="shared" si="5"/>
        <v>171761.5</v>
      </c>
      <c r="Y39" s="79"/>
      <c r="Z39" s="79"/>
      <c r="AA39" s="88">
        <v>184000</v>
      </c>
      <c r="AB39" s="88">
        <v>2350</v>
      </c>
      <c r="AC39" s="104">
        <f t="shared" si="7"/>
        <v>7.0652173913043473E-2</v>
      </c>
      <c r="AD39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13000</v>
      </c>
      <c r="AE39" s="85">
        <f>Tabla4[[#This Row],[VALOR TOTAL]]-AF39</f>
        <v>184000</v>
      </c>
      <c r="AF39" s="79">
        <v>0</v>
      </c>
      <c r="AG39" s="79">
        <f>ABONOS!E40</f>
        <v>171000</v>
      </c>
      <c r="AH39" s="346" t="str" cm="1">
        <f t="array" ref="AH39">_xlfn.IFS(Tabla4[[#This Row],[RESERVADAS, VENDIDAS]]="DISPONIBLE","",Tabla4[[#This Row],[SALDO PENDIENTE]]=0,"PAZ Y SALVO",Tabla4[[#This Row],[SALDO PENDIENTE]]=Tabla4[[#This Row],[MONTO CPP]],"COBRO CPP",Tabla4[[#This Row],[SALDO PENDIENTE]]&gt;0,"PENDIENTE")</f>
        <v>PENDIENTE</v>
      </c>
      <c r="AI39" s="347" t="s">
        <v>509</v>
      </c>
      <c r="AJ39" s="79"/>
      <c r="AK39" s="79"/>
      <c r="AL39" s="222" t="s">
        <v>278</v>
      </c>
      <c r="AM39" s="83">
        <v>46171</v>
      </c>
      <c r="AN39" s="349" t="s">
        <v>253</v>
      </c>
      <c r="AO39" s="223" t="s">
        <v>278</v>
      </c>
      <c r="AP39" s="79">
        <v>165000</v>
      </c>
      <c r="AQ39" s="214" t="s">
        <v>116</v>
      </c>
      <c r="AR39" s="86">
        <v>46175</v>
      </c>
      <c r="AS39" s="79">
        <v>184000</v>
      </c>
      <c r="AT39" s="101">
        <v>30474603</v>
      </c>
      <c r="AU39" s="280" t="s">
        <v>120</v>
      </c>
      <c r="AV39" s="214" t="s">
        <v>120</v>
      </c>
      <c r="AW39" s="88">
        <v>0</v>
      </c>
      <c r="AX39" s="346" t="str" cm="1">
        <f t="array" ref="AX39">_xlfn.IFS(Tabla4[[#This Row],[MONTO5]]=0,"",Tabla4[[#This Row],[SALDO PENDIENTE3]]=0,"PAZ Y SALVO",Tabla4[[#This Row],[SALDO PENDIENTE3]]&gt;0,"PENDIENTE")</f>
        <v>PAZ Y SALVO</v>
      </c>
      <c r="AY39" s="158" t="s">
        <v>334</v>
      </c>
      <c r="AZ39" s="86">
        <v>46175</v>
      </c>
      <c r="BA39" s="280" t="s">
        <v>151</v>
      </c>
      <c r="BB39" s="86">
        <v>46184</v>
      </c>
      <c r="BC39" s="90">
        <f>Tabla4[[#This Row],[FECHA RECIBIDO MINUTA LIBERACION]]-Tabla4[[#This Row],[SOLICITUD DE MINUTA LIBERACIÓN]]</f>
        <v>9</v>
      </c>
      <c r="BD39" s="280" t="s">
        <v>151</v>
      </c>
      <c r="BE39" s="86">
        <v>46189</v>
      </c>
      <c r="BF39" s="280" t="s">
        <v>151</v>
      </c>
      <c r="BG39" s="86">
        <v>46189</v>
      </c>
      <c r="BH39" s="86">
        <v>46189</v>
      </c>
      <c r="BI39" s="86">
        <v>46190</v>
      </c>
      <c r="BJ39" s="280" t="s">
        <v>120</v>
      </c>
      <c r="BK39" s="218">
        <v>46202</v>
      </c>
      <c r="BL39" s="218">
        <v>46202</v>
      </c>
      <c r="BM39" s="86">
        <v>46205</v>
      </c>
      <c r="BN39" s="86">
        <v>46204</v>
      </c>
      <c r="BO39" s="86">
        <v>46204</v>
      </c>
      <c r="BP39" s="90">
        <f>Tabla4[[#This Row],[RECEPCIÓN INTERINO]]-Tabla4[[#This Row],[ENVIO A INTERINO]]</f>
        <v>0</v>
      </c>
      <c r="BQ39" s="86">
        <v>46204</v>
      </c>
      <c r="BR39" s="86">
        <v>46204</v>
      </c>
      <c r="BS39" s="86">
        <v>46204</v>
      </c>
      <c r="BT39" s="86">
        <v>46204</v>
      </c>
      <c r="BU39" s="86">
        <v>46205</v>
      </c>
      <c r="BV39" s="280" t="s">
        <v>151</v>
      </c>
      <c r="BW39" s="86">
        <v>46212</v>
      </c>
      <c r="BX39" s="86">
        <v>46212</v>
      </c>
      <c r="BY39" s="86">
        <v>46219</v>
      </c>
      <c r="BZ39" s="86">
        <v>46224</v>
      </c>
      <c r="CA39" s="86">
        <v>46224</v>
      </c>
      <c r="CB39" s="398">
        <v>46230</v>
      </c>
      <c r="CC39" s="86">
        <v>46225</v>
      </c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</row>
    <row r="40" spans="1:99" ht="35" customHeight="1">
      <c r="A40" s="71" t="s">
        <v>69</v>
      </c>
      <c r="B40" s="84">
        <v>-300</v>
      </c>
      <c r="C40" s="223" t="s">
        <v>491</v>
      </c>
      <c r="D40" s="97" t="s">
        <v>327</v>
      </c>
      <c r="E40" s="389" t="s">
        <v>465</v>
      </c>
      <c r="F40" s="319">
        <v>46049</v>
      </c>
      <c r="G40" s="223" t="s">
        <v>488</v>
      </c>
      <c r="H40" s="223" t="s">
        <v>249</v>
      </c>
      <c r="I40" s="223" t="s">
        <v>320</v>
      </c>
      <c r="J40" s="223" t="s">
        <v>379</v>
      </c>
      <c r="K40" s="74">
        <v>26678</v>
      </c>
      <c r="L40" s="223" t="s">
        <v>251</v>
      </c>
      <c r="M40" s="223" t="s">
        <v>489</v>
      </c>
      <c r="N40" s="223" t="s">
        <v>257</v>
      </c>
      <c r="O40" s="223" t="s">
        <v>151</v>
      </c>
      <c r="P40" s="73"/>
      <c r="Q40" s="223" t="s">
        <v>151</v>
      </c>
      <c r="R40" s="73">
        <v>14000</v>
      </c>
      <c r="S40" s="73" t="s">
        <v>112</v>
      </c>
      <c r="T40" s="73">
        <v>73.09</v>
      </c>
      <c r="U40" s="98">
        <v>0</v>
      </c>
      <c r="V40" s="100">
        <f t="shared" si="6"/>
        <v>73.09</v>
      </c>
      <c r="W40" s="79"/>
      <c r="X40" s="79">
        <f t="shared" si="5"/>
        <v>171761.5</v>
      </c>
      <c r="Y40" s="79"/>
      <c r="Z40" s="79"/>
      <c r="AA40" s="88">
        <v>194000</v>
      </c>
      <c r="AB40" s="88">
        <v>2350</v>
      </c>
      <c r="AC40" s="104">
        <f t="shared" si="7"/>
        <v>0.37148402061855668</v>
      </c>
      <c r="AD40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72067.899999999994</v>
      </c>
      <c r="AE40" s="85">
        <f>Tabla4[[#This Row],[VALOR TOTAL]]</f>
        <v>194000</v>
      </c>
      <c r="AF40" s="79">
        <v>0</v>
      </c>
      <c r="AG40" s="79">
        <f>ABONOS!E41</f>
        <v>121932.1</v>
      </c>
      <c r="AH40" s="346" t="str" cm="1">
        <f t="array" ref="AH40">_xlfn.IFS(Tabla4[[#This Row],[RESERVADAS, VENDIDAS]]="DISPONIBLE","",Tabla4[[#This Row],[SALDO PENDIENTE]]=0,"PAZ Y SALVO",Tabla4[[#This Row],[SALDO PENDIENTE]]=Tabla4[[#This Row],[MONTO CPP]],"COBRO CPP",Tabla4[[#This Row],[SALDO PENDIENTE]]&gt;0,"PENDIENTE")</f>
        <v>PENDIENTE</v>
      </c>
      <c r="AI40" s="347" t="s">
        <v>492</v>
      </c>
      <c r="AJ40" s="79"/>
      <c r="AK40" s="79"/>
      <c r="AL40" s="222" t="s">
        <v>278</v>
      </c>
      <c r="AM40" s="83">
        <v>46087</v>
      </c>
      <c r="AN40" s="83">
        <v>46447</v>
      </c>
      <c r="AO40" s="223" t="s">
        <v>278</v>
      </c>
      <c r="AP40" s="79">
        <v>121900</v>
      </c>
      <c r="AQ40" s="214" t="s">
        <v>116</v>
      </c>
      <c r="AR40" s="86">
        <v>46064</v>
      </c>
      <c r="AS40" s="79">
        <v>194000</v>
      </c>
      <c r="AT40" s="101">
        <v>30474602</v>
      </c>
      <c r="AU40" s="280" t="s">
        <v>252</v>
      </c>
      <c r="AV40" s="102">
        <f>2883+73.55</f>
        <v>2956.55</v>
      </c>
      <c r="AW40" s="88">
        <f>ABONOS!O41</f>
        <v>2956.55</v>
      </c>
      <c r="AX40" s="346" t="str" cm="1">
        <f t="array" ref="AX40">_xlfn.IFS(Tabla4[[#This Row],[MONTO5]]=0,"",Tabla4[[#This Row],[SALDO PENDIENTE3]]=0,"PAZ Y SALVO",Tabla4[[#This Row],[SALDO PENDIENTE3]]&gt;0,"PENDIENTE")</f>
        <v>PENDIENTE</v>
      </c>
      <c r="AY40" s="158" t="s">
        <v>334</v>
      </c>
      <c r="AZ40" s="86">
        <v>46093</v>
      </c>
      <c r="BA40" s="280" t="s">
        <v>151</v>
      </c>
      <c r="BB40" s="86">
        <v>46101</v>
      </c>
      <c r="BC40" s="90">
        <f>Tabla4[[#This Row],[FECHA RECIBIDO MINUTA LIBERACION]]-Tabla4[[#This Row],[SOLICITUD DE MINUTA LIBERACIÓN]]</f>
        <v>8</v>
      </c>
      <c r="BD40" s="280" t="s">
        <v>151</v>
      </c>
      <c r="BE40" s="218">
        <v>46130</v>
      </c>
      <c r="BF40" s="280" t="s">
        <v>151</v>
      </c>
      <c r="BG40" s="86">
        <v>46093</v>
      </c>
      <c r="BH40" s="86">
        <v>46093</v>
      </c>
      <c r="BI40" s="280" t="s">
        <v>120</v>
      </c>
      <c r="BJ40" s="280" t="s">
        <v>415</v>
      </c>
      <c r="BK40" s="86">
        <v>46130</v>
      </c>
      <c r="BL40" s="86">
        <v>46142</v>
      </c>
      <c r="BM40" s="86">
        <v>46131</v>
      </c>
      <c r="BN40" s="86">
        <v>46159</v>
      </c>
      <c r="BO40" s="218">
        <v>46160</v>
      </c>
      <c r="BP40" s="90">
        <f>Tabla4[[#This Row],[RECEPCIÓN INTERINO]]-Tabla4[[#This Row],[ENVIO A INTERINO]]</f>
        <v>1</v>
      </c>
      <c r="BQ40" s="86">
        <v>46181</v>
      </c>
      <c r="BR40" s="86">
        <v>46240</v>
      </c>
      <c r="BS40" s="86">
        <v>46240</v>
      </c>
      <c r="BT40" s="218">
        <v>46171</v>
      </c>
      <c r="BU40" s="218">
        <v>46157</v>
      </c>
      <c r="BV40" s="407" t="s">
        <v>151</v>
      </c>
      <c r="BW40" s="86">
        <v>46181</v>
      </c>
      <c r="BX40" s="86">
        <v>46182</v>
      </c>
      <c r="BY40" s="86">
        <v>46183</v>
      </c>
      <c r="BZ40" s="86">
        <v>46199</v>
      </c>
      <c r="CA40" s="86">
        <v>46199</v>
      </c>
      <c r="CB40" s="100"/>
      <c r="CC40" s="86">
        <v>46198</v>
      </c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</row>
    <row r="41" spans="1:99" ht="35" customHeight="1">
      <c r="A41" s="71" t="s">
        <v>70</v>
      </c>
      <c r="B41" s="84">
        <v>-300</v>
      </c>
      <c r="C41" s="223" t="s">
        <v>484</v>
      </c>
      <c r="D41" s="97" t="s">
        <v>327</v>
      </c>
      <c r="E41" s="390" t="s">
        <v>465</v>
      </c>
      <c r="F41" s="319">
        <v>45993</v>
      </c>
      <c r="G41" s="223" t="s">
        <v>485</v>
      </c>
      <c r="H41" s="223" t="s">
        <v>249</v>
      </c>
      <c r="I41" s="223" t="s">
        <v>320</v>
      </c>
      <c r="J41" s="223" t="s">
        <v>505</v>
      </c>
      <c r="K41" s="74"/>
      <c r="L41" s="223" t="s">
        <v>251</v>
      </c>
      <c r="M41" s="223" t="s">
        <v>486</v>
      </c>
      <c r="N41" s="223" t="s">
        <v>250</v>
      </c>
      <c r="O41" s="223" t="s">
        <v>151</v>
      </c>
      <c r="P41" s="223" t="s">
        <v>283</v>
      </c>
      <c r="Q41" s="223" t="s">
        <v>151</v>
      </c>
      <c r="R41" s="73"/>
      <c r="S41" s="73" t="s">
        <v>112</v>
      </c>
      <c r="T41" s="73">
        <v>73.98</v>
      </c>
      <c r="U41" s="98">
        <v>0</v>
      </c>
      <c r="V41" s="100">
        <f t="shared" si="6"/>
        <v>73.98</v>
      </c>
      <c r="W41" s="79"/>
      <c r="X41" s="79">
        <f t="shared" si="5"/>
        <v>173853</v>
      </c>
      <c r="Y41" s="79"/>
      <c r="Z41" s="79"/>
      <c r="AA41" s="88">
        <v>204000</v>
      </c>
      <c r="AB41" s="88">
        <v>2350</v>
      </c>
      <c r="AC41" s="104">
        <f t="shared" si="7"/>
        <v>0.34995098039215689</v>
      </c>
      <c r="AD41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71390</v>
      </c>
      <c r="AE41" s="85">
        <f>Tabla4[[#This Row],[VALOR TOTAL]]</f>
        <v>204000</v>
      </c>
      <c r="AF41" s="79">
        <v>0</v>
      </c>
      <c r="AG41" s="79">
        <f>ABONOS!E42</f>
        <v>132610</v>
      </c>
      <c r="AH41" s="346" t="str" cm="1">
        <f t="array" ref="AH41">_xlfn.IFS(Tabla4[[#This Row],[RESERVADAS, VENDIDAS]]="DISPONIBLE","",Tabla4[[#This Row],[SALDO PENDIENTE]]=0,"PAZ Y SALVO",Tabla4[[#This Row],[SALDO PENDIENTE]]=Tabla4[[#This Row],[MONTO CPP]],"COBRO CPP",Tabla4[[#This Row],[SALDO PENDIENTE]]&gt;0,"PENDIENTE")</f>
        <v>PENDIENTE</v>
      </c>
      <c r="AI41" s="347" t="s">
        <v>492</v>
      </c>
      <c r="AJ41" s="222"/>
      <c r="AK41" s="222"/>
      <c r="AL41" s="222" t="s">
        <v>278</v>
      </c>
      <c r="AM41" s="349">
        <v>46128</v>
      </c>
      <c r="AN41" s="349">
        <v>46488</v>
      </c>
      <c r="AO41" s="223" t="s">
        <v>278</v>
      </c>
      <c r="AP41" s="222">
        <v>132600</v>
      </c>
      <c r="AQ41" s="214" t="s">
        <v>116</v>
      </c>
      <c r="AR41" s="86">
        <v>46017</v>
      </c>
      <c r="AS41" s="79">
        <v>201000</v>
      </c>
      <c r="AT41" s="101">
        <v>30474601</v>
      </c>
      <c r="AU41" s="280" t="s">
        <v>252</v>
      </c>
      <c r="AV41" s="102">
        <v>2966</v>
      </c>
      <c r="AW41" s="88">
        <f>ABONOS!O42</f>
        <v>42.449999999999818</v>
      </c>
      <c r="AX41" s="346" t="str" cm="1">
        <f t="array" ref="AX41">_xlfn.IFS(Tabla4[[#This Row],[MONTO5]]=0,"",Tabla4[[#This Row],[SALDO PENDIENTE3]]=0,"PAZ Y SALVO",Tabla4[[#This Row],[SALDO PENDIENTE3]]&gt;0,"PENDIENTE")</f>
        <v>PENDIENTE</v>
      </c>
      <c r="AY41" s="158" t="s">
        <v>334</v>
      </c>
      <c r="AZ41" s="86">
        <v>46136</v>
      </c>
      <c r="BA41" s="280" t="s">
        <v>151</v>
      </c>
      <c r="BB41" s="86" t="s">
        <v>508</v>
      </c>
      <c r="BC41" s="90" t="e">
        <f>Tabla4[[#This Row],[FECHA RECIBIDO MINUTA LIBERACION]]-Tabla4[[#This Row],[SOLICITUD DE MINUTA LIBERACIÓN]]</f>
        <v>#VALUE!</v>
      </c>
      <c r="BD41" s="280" t="s">
        <v>151</v>
      </c>
      <c r="BE41" s="218">
        <v>46135</v>
      </c>
      <c r="BF41" s="280" t="s">
        <v>151</v>
      </c>
      <c r="BG41" s="86">
        <v>46135</v>
      </c>
      <c r="BH41" s="86">
        <v>46136</v>
      </c>
      <c r="BI41" s="218">
        <v>46155</v>
      </c>
      <c r="BJ41" s="280" t="s">
        <v>358</v>
      </c>
      <c r="BK41" s="218">
        <v>46182</v>
      </c>
      <c r="BL41" s="218">
        <v>46189</v>
      </c>
      <c r="BM41" s="86">
        <v>46183</v>
      </c>
      <c r="BN41" s="86">
        <v>46195</v>
      </c>
      <c r="BO41" s="86">
        <v>46196</v>
      </c>
      <c r="BP41" s="90">
        <f>Tabla4[[#This Row],[RECEPCIÓN INTERINO]]-Tabla4[[#This Row],[ENVIO A INTERINO]]</f>
        <v>1</v>
      </c>
      <c r="BQ41" s="86">
        <v>46219</v>
      </c>
      <c r="BR41" s="86">
        <v>46196</v>
      </c>
      <c r="BS41" s="86">
        <v>46219</v>
      </c>
      <c r="BT41" s="86">
        <v>46219</v>
      </c>
      <c r="BU41" s="86">
        <v>46205</v>
      </c>
      <c r="BV41" s="407" t="s">
        <v>151</v>
      </c>
      <c r="BW41" s="86">
        <v>46220</v>
      </c>
      <c r="BX41" s="86">
        <v>46220</v>
      </c>
      <c r="BY41" s="218">
        <v>46220</v>
      </c>
      <c r="BZ41" s="218">
        <v>46237</v>
      </c>
      <c r="CA41" s="218">
        <v>46237</v>
      </c>
      <c r="CB41" s="100"/>
      <c r="CC41" s="158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</row>
    <row r="42" spans="1:99" ht="35" customHeight="1">
      <c r="A42" s="55" t="s">
        <v>71</v>
      </c>
      <c r="B42" s="65">
        <v>-300</v>
      </c>
      <c r="C42" s="205"/>
      <c r="D42" s="205" t="s">
        <v>439</v>
      </c>
      <c r="E42" s="205" t="s">
        <v>247</v>
      </c>
      <c r="F42" s="238"/>
      <c r="G42" s="205"/>
      <c r="H42" s="205"/>
      <c r="I42" s="205"/>
      <c r="J42" s="205"/>
      <c r="K42" s="57"/>
      <c r="L42" s="205"/>
      <c r="M42" s="205"/>
      <c r="N42" s="56"/>
      <c r="O42" s="56"/>
      <c r="P42" s="56"/>
      <c r="Q42" s="56"/>
      <c r="R42" s="56"/>
      <c r="S42" s="56" t="s">
        <v>112</v>
      </c>
      <c r="T42" s="56">
        <v>73.98</v>
      </c>
      <c r="U42" s="58">
        <v>0</v>
      </c>
      <c r="V42" s="64">
        <f t="shared" si="6"/>
        <v>73.98</v>
      </c>
      <c r="W42" s="60"/>
      <c r="X42" s="60">
        <f t="shared" si="5"/>
        <v>173853</v>
      </c>
      <c r="Y42" s="60"/>
      <c r="Z42" s="60"/>
      <c r="AA42" s="61">
        <v>201000</v>
      </c>
      <c r="AB42" s="61">
        <v>2350</v>
      </c>
      <c r="AC42" s="306">
        <f t="shared" si="7"/>
        <v>0</v>
      </c>
      <c r="AD42" s="305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0</v>
      </c>
      <c r="AE42" s="66">
        <f>Tabla4[[#This Row],[VALOR TOTAL]]</f>
        <v>201000</v>
      </c>
      <c r="AF42" s="60"/>
      <c r="AG42" s="60">
        <f>ABONOS!E43</f>
        <v>201000</v>
      </c>
      <c r="AH42" s="300" t="str" cm="1">
        <f t="array" ref="AH42">_xlfn.IFS(Tabla4[[#This Row],[RESERVADAS, VENDIDAS]]="DISPONIBLE","",Tabla4[[#This Row],[SALDO PENDIENTE]]=0,"PAZ Y SALVO",Tabla4[[#This Row],[SALDO PENDIENTE]]=Tabla4[[#This Row],[MONTO CPP]],"COBRO CPP",Tabla4[[#This Row],[SALDO PENDIENTE]]&gt;0,"PENDIENTE")</f>
        <v/>
      </c>
      <c r="AI42" s="65"/>
      <c r="AJ42" s="60"/>
      <c r="AK42" s="60"/>
      <c r="AL42" s="60"/>
      <c r="AM42" s="148"/>
      <c r="AN42" s="148"/>
      <c r="AO42" s="56"/>
      <c r="AP42" s="60"/>
      <c r="AQ42" s="25" t="s">
        <v>512</v>
      </c>
      <c r="AR42" s="63"/>
      <c r="AS42" s="60"/>
      <c r="AT42" s="67">
        <v>30474600</v>
      </c>
      <c r="AU42" s="64"/>
      <c r="AV42" s="68"/>
      <c r="AW42" s="61">
        <f>ABONOS!O43</f>
        <v>0</v>
      </c>
      <c r="AX42" s="300" t="str" cm="1">
        <f t="array" ref="AX42">_xlfn.IFS(Tabla4[[#This Row],[MONTO5]]=0,"",Tabla4[[#This Row],[SALDO PENDIENTE3]]=0,"PAZ Y SALVO",Tabla4[[#This Row],[SALDO PENDIENTE3]]&gt;0,"PENDIENTE")</f>
        <v/>
      </c>
      <c r="AY42" s="69"/>
      <c r="AZ42" s="69"/>
      <c r="BA42" s="64"/>
      <c r="BB42" s="64"/>
      <c r="BC42" s="70">
        <f>Tabla4[[#This Row],[FECHA RECIBIDO MINUTA LIBERACION]]-Tabla4[[#This Row],[SOLICITUD DE MINUTA LIBERACIÓN]]</f>
        <v>0</v>
      </c>
      <c r="BD42" s="69"/>
      <c r="BE42" s="69"/>
      <c r="BF42" s="64"/>
      <c r="BG42" s="64"/>
      <c r="BH42" s="64"/>
      <c r="BI42" s="64"/>
      <c r="BJ42" s="64"/>
      <c r="BK42" s="69"/>
      <c r="BL42" s="64"/>
      <c r="BM42" s="69"/>
      <c r="BN42" s="69"/>
      <c r="BO42" s="69"/>
      <c r="BP42" s="70">
        <f>Tabla4[[#This Row],[RECEPCIÓN INTERINO]]-Tabla4[[#This Row],[ENVIO A INTERINO]]</f>
        <v>0</v>
      </c>
      <c r="BQ42" s="64"/>
      <c r="BR42" s="64"/>
      <c r="BS42" s="64"/>
      <c r="BT42" s="64"/>
      <c r="BU42" s="64"/>
      <c r="BV42" s="69"/>
      <c r="BW42" s="69"/>
      <c r="BX42" s="64"/>
      <c r="BY42" s="69"/>
      <c r="BZ42" s="69"/>
      <c r="CA42" s="64"/>
      <c r="CB42" s="64"/>
      <c r="CC42" s="69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</row>
    <row r="43" spans="1:99" ht="35" customHeight="1">
      <c r="A43" s="71" t="s">
        <v>72</v>
      </c>
      <c r="B43" s="84">
        <v>-300</v>
      </c>
      <c r="C43" s="486" t="s">
        <v>506</v>
      </c>
      <c r="D43" s="97" t="s">
        <v>327</v>
      </c>
      <c r="E43" s="389" t="s">
        <v>465</v>
      </c>
      <c r="F43" s="319">
        <v>45979</v>
      </c>
      <c r="G43" s="73">
        <v>532922899</v>
      </c>
      <c r="H43" s="73" t="s">
        <v>139</v>
      </c>
      <c r="I43" s="73" t="s">
        <v>320</v>
      </c>
      <c r="J43" s="223" t="s">
        <v>504</v>
      </c>
      <c r="K43" s="74">
        <v>19755</v>
      </c>
      <c r="L43" s="73" t="s">
        <v>251</v>
      </c>
      <c r="M43" s="73" t="s">
        <v>350</v>
      </c>
      <c r="N43" s="73" t="s">
        <v>250</v>
      </c>
      <c r="O43" s="73" t="s">
        <v>151</v>
      </c>
      <c r="P43" s="73" t="s">
        <v>283</v>
      </c>
      <c r="Q43" s="73" t="s">
        <v>151</v>
      </c>
      <c r="R43" s="73"/>
      <c r="S43" s="73" t="s">
        <v>112</v>
      </c>
      <c r="T43" s="73">
        <v>73.09</v>
      </c>
      <c r="U43" s="98">
        <v>0</v>
      </c>
      <c r="V43" s="100">
        <f t="shared" si="6"/>
        <v>73.09</v>
      </c>
      <c r="W43" s="79"/>
      <c r="X43" s="79">
        <f t="shared" si="5"/>
        <v>171761.5</v>
      </c>
      <c r="Y43" s="79"/>
      <c r="Z43" s="79"/>
      <c r="AA43" s="88">
        <v>201000</v>
      </c>
      <c r="AB43" s="88">
        <v>2350</v>
      </c>
      <c r="AC43" s="104">
        <f t="shared" si="7"/>
        <v>1</v>
      </c>
      <c r="AD43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201000</v>
      </c>
      <c r="AE43" s="85">
        <f>Tabla4[[#This Row],[VALOR TOTAL]]-AF43</f>
        <v>201000</v>
      </c>
      <c r="AF43" s="79">
        <v>0</v>
      </c>
      <c r="AG43" s="79">
        <f>ABONOS!E44</f>
        <v>0</v>
      </c>
      <c r="AH43" s="346" t="str" cm="1">
        <f t="array" ref="AH43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43" s="347" t="s">
        <v>253</v>
      </c>
      <c r="AJ43" s="222" t="s">
        <v>253</v>
      </c>
      <c r="AK43" s="222" t="s">
        <v>253</v>
      </c>
      <c r="AL43" s="222" t="s">
        <v>253</v>
      </c>
      <c r="AM43" s="349" t="s">
        <v>253</v>
      </c>
      <c r="AN43" s="349" t="s">
        <v>253</v>
      </c>
      <c r="AO43" s="283" t="s">
        <v>296</v>
      </c>
      <c r="AP43" s="222" t="s">
        <v>253</v>
      </c>
      <c r="AQ43" s="214" t="s">
        <v>116</v>
      </c>
      <c r="AR43" s="86">
        <v>46017</v>
      </c>
      <c r="AS43" s="79">
        <v>201000</v>
      </c>
      <c r="AT43" s="101">
        <v>30474599</v>
      </c>
      <c r="AU43" s="280" t="s">
        <v>252</v>
      </c>
      <c r="AV43" s="102">
        <v>1830</v>
      </c>
      <c r="AW43" s="88">
        <f>ABONOS!O44</f>
        <v>0</v>
      </c>
      <c r="AX43" s="346" t="str" cm="1">
        <f t="array" ref="AX43">_xlfn.IFS(Tabla4[[#This Row],[MONTO5]]=0,"",Tabla4[[#This Row],[SALDO PENDIENTE3]]=0,"PAZ Y SALVO",Tabla4[[#This Row],[SALDO PENDIENTE3]]&gt;0,"PENDIENTE")</f>
        <v>PAZ Y SALVO</v>
      </c>
      <c r="AY43" s="281" t="s">
        <v>507</v>
      </c>
      <c r="AZ43" s="86">
        <v>46063</v>
      </c>
      <c r="BA43" s="280" t="s">
        <v>151</v>
      </c>
      <c r="BB43" s="86">
        <v>46071</v>
      </c>
      <c r="BC43" s="90">
        <f>Tabla4[[#This Row],[FECHA RECIBIDO MINUTA LIBERACION]]-Tabla4[[#This Row],[SOLICITUD DE MINUTA LIBERACIÓN]]</f>
        <v>8</v>
      </c>
      <c r="BD43" s="280" t="s">
        <v>151</v>
      </c>
      <c r="BE43" s="86">
        <v>46085</v>
      </c>
      <c r="BF43" s="280" t="s">
        <v>253</v>
      </c>
      <c r="BG43" s="280" t="s">
        <v>253</v>
      </c>
      <c r="BH43" s="280" t="s">
        <v>253</v>
      </c>
      <c r="BI43" s="280" t="s">
        <v>253</v>
      </c>
      <c r="BJ43" s="280" t="s">
        <v>253</v>
      </c>
      <c r="BK43" s="86">
        <v>46088</v>
      </c>
      <c r="BL43" s="86">
        <v>46101</v>
      </c>
      <c r="BM43" s="86">
        <v>46121</v>
      </c>
      <c r="BN43" s="86">
        <v>46121</v>
      </c>
      <c r="BO43" s="86">
        <v>46122</v>
      </c>
      <c r="BP43" s="90">
        <f>Tabla4[[#This Row],[RECEPCIÓN INTERINO]]-Tabla4[[#This Row],[ENVIO A INTERINO]]</f>
        <v>1</v>
      </c>
      <c r="BQ43" s="86">
        <v>46140</v>
      </c>
      <c r="BR43" s="86">
        <v>46136</v>
      </c>
      <c r="BS43" s="218">
        <v>46141</v>
      </c>
      <c r="BT43" s="218">
        <v>46141</v>
      </c>
      <c r="BU43" s="280" t="s">
        <v>253</v>
      </c>
      <c r="BV43" s="280" t="s">
        <v>151</v>
      </c>
      <c r="BW43" s="86">
        <v>46140</v>
      </c>
      <c r="BX43" s="218">
        <v>46141</v>
      </c>
      <c r="BY43" s="218">
        <v>46142</v>
      </c>
      <c r="BZ43" s="218">
        <v>46161</v>
      </c>
      <c r="CA43" s="280" t="s">
        <v>253</v>
      </c>
      <c r="CB43" s="280" t="s">
        <v>253</v>
      </c>
      <c r="CC43" s="218">
        <v>46131</v>
      </c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</row>
    <row r="44" spans="1:99" ht="35" customHeight="1">
      <c r="A44" s="71" t="s">
        <v>73</v>
      </c>
      <c r="B44" s="84">
        <v>-300</v>
      </c>
      <c r="C44" s="223" t="s">
        <v>36</v>
      </c>
      <c r="D44" s="97" t="s">
        <v>327</v>
      </c>
      <c r="E44" s="223" t="s">
        <v>465</v>
      </c>
      <c r="F44" s="460">
        <v>45947</v>
      </c>
      <c r="G44" s="73">
        <v>111800167</v>
      </c>
      <c r="H44" s="73" t="s">
        <v>264</v>
      </c>
      <c r="I44" s="105" t="s">
        <v>322</v>
      </c>
      <c r="J44" s="105" t="s">
        <v>379</v>
      </c>
      <c r="K44" s="74">
        <v>30567</v>
      </c>
      <c r="L44" s="73" t="s">
        <v>251</v>
      </c>
      <c r="M44" s="73" t="s">
        <v>310</v>
      </c>
      <c r="N44" s="73" t="s">
        <v>250</v>
      </c>
      <c r="O44" s="73"/>
      <c r="P44" s="73"/>
      <c r="Q44" s="73"/>
      <c r="R44" s="73"/>
      <c r="S44" s="73" t="s">
        <v>112</v>
      </c>
      <c r="T44" s="73">
        <v>73.09</v>
      </c>
      <c r="U44" s="98">
        <v>0</v>
      </c>
      <c r="V44" s="100">
        <f t="shared" si="6"/>
        <v>73.09</v>
      </c>
      <c r="W44" s="79"/>
      <c r="X44" s="79">
        <f t="shared" si="5"/>
        <v>171761.5</v>
      </c>
      <c r="Y44" s="79"/>
      <c r="Z44" s="79"/>
      <c r="AA44" s="88">
        <v>130000</v>
      </c>
      <c r="AB44" s="88">
        <v>2350</v>
      </c>
      <c r="AC44" s="104">
        <f t="shared" si="7"/>
        <v>1</v>
      </c>
      <c r="AD44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130000</v>
      </c>
      <c r="AE44" s="481">
        <f>Tabla4[[#This Row],[VALOR TOTAL]]-AF44</f>
        <v>130000</v>
      </c>
      <c r="AF44" s="79">
        <v>0</v>
      </c>
      <c r="AG44" s="79">
        <f>ABONOS!E45</f>
        <v>0</v>
      </c>
      <c r="AH44" s="346" t="str" cm="1">
        <f t="array" ref="AH44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44" s="150" t="s">
        <v>253</v>
      </c>
      <c r="AJ44" s="150" t="s">
        <v>253</v>
      </c>
      <c r="AK44" s="150" t="s">
        <v>253</v>
      </c>
      <c r="AL44" s="150" t="s">
        <v>253</v>
      </c>
      <c r="AM44" s="150" t="s">
        <v>253</v>
      </c>
      <c r="AN44" s="150" t="s">
        <v>253</v>
      </c>
      <c r="AO44" s="150" t="s">
        <v>253</v>
      </c>
      <c r="AP44" s="150" t="s">
        <v>253</v>
      </c>
      <c r="AQ44" s="214" t="s">
        <v>116</v>
      </c>
      <c r="AR44" s="86"/>
      <c r="AS44" s="79"/>
      <c r="AT44" s="101">
        <v>30474598</v>
      </c>
      <c r="AU44" s="280" t="s">
        <v>252</v>
      </c>
      <c r="AV44" s="102">
        <v>1726</v>
      </c>
      <c r="AW44" s="88">
        <f>ABONOS!O45</f>
        <v>0</v>
      </c>
      <c r="AX44" s="346" t="str" cm="1">
        <f t="array" ref="AX44">_xlfn.IFS(Tabla4[[#This Row],[MONTO5]]=0,"",Tabla4[[#This Row],[SALDO PENDIENTE3]]=0,"PAZ Y SALVO",Tabla4[[#This Row],[SALDO PENDIENTE3]]&gt;0,"PENDIENTE")</f>
        <v>PAZ Y SALVO</v>
      </c>
      <c r="AY44" s="158" t="s">
        <v>334</v>
      </c>
      <c r="AZ44" s="218">
        <v>45954</v>
      </c>
      <c r="BA44" s="280" t="s">
        <v>151</v>
      </c>
      <c r="BB44" s="86">
        <v>45961</v>
      </c>
      <c r="BC44" s="90">
        <f>Tabla4[[#This Row],[FECHA RECIBIDO MINUTA LIBERACION]]-Tabla4[[#This Row],[SOLICITUD DE MINUTA LIBERACIÓN]]</f>
        <v>7</v>
      </c>
      <c r="BD44" s="407" t="s">
        <v>151</v>
      </c>
      <c r="BE44" s="86">
        <v>45973</v>
      </c>
      <c r="BF44" s="280" t="s">
        <v>253</v>
      </c>
      <c r="BG44" s="280" t="s">
        <v>253</v>
      </c>
      <c r="BH44" s="280" t="s">
        <v>253</v>
      </c>
      <c r="BI44" s="280" t="s">
        <v>253</v>
      </c>
      <c r="BJ44" s="280" t="s">
        <v>253</v>
      </c>
      <c r="BK44" s="86">
        <v>45972</v>
      </c>
      <c r="BL44" s="86">
        <v>45978</v>
      </c>
      <c r="BM44" s="86">
        <v>45978</v>
      </c>
      <c r="BN44" s="86">
        <v>45979</v>
      </c>
      <c r="BO44" s="86">
        <v>45992</v>
      </c>
      <c r="BP44" s="90">
        <f>Tabla4[[#This Row],[RECEPCIÓN INTERINO]]-Tabla4[[#This Row],[ENVIO A INTERINO]]</f>
        <v>13</v>
      </c>
      <c r="BQ44" s="86">
        <v>45996</v>
      </c>
      <c r="BR44" s="86">
        <v>45968</v>
      </c>
      <c r="BS44" s="86">
        <v>45996</v>
      </c>
      <c r="BT44" s="86">
        <v>45996</v>
      </c>
      <c r="BU44" s="280" t="s">
        <v>253</v>
      </c>
      <c r="BV44" s="91" t="s">
        <v>151</v>
      </c>
      <c r="BW44" s="86">
        <v>45996</v>
      </c>
      <c r="BX44" s="86">
        <v>45996</v>
      </c>
      <c r="BY44" s="86">
        <v>45996</v>
      </c>
      <c r="BZ44" s="86">
        <v>46007</v>
      </c>
      <c r="CA44" s="280" t="s">
        <v>253</v>
      </c>
      <c r="CB44" s="280" t="s">
        <v>253</v>
      </c>
      <c r="CC44" s="86">
        <v>45946</v>
      </c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</row>
    <row r="45" spans="1:99" ht="35" customHeight="1">
      <c r="A45" s="71" t="s">
        <v>74</v>
      </c>
      <c r="B45" s="84">
        <v>-300</v>
      </c>
      <c r="C45" s="223" t="s">
        <v>498</v>
      </c>
      <c r="D45" s="97" t="s">
        <v>327</v>
      </c>
      <c r="E45" s="390" t="s">
        <v>465</v>
      </c>
      <c r="F45" s="319">
        <v>46137</v>
      </c>
      <c r="G45" s="223" t="s">
        <v>499</v>
      </c>
      <c r="H45" s="223" t="s">
        <v>170</v>
      </c>
      <c r="I45" s="223" t="s">
        <v>321</v>
      </c>
      <c r="J45" s="223" t="s">
        <v>504</v>
      </c>
      <c r="K45" s="74"/>
      <c r="L45" s="73"/>
      <c r="M45" s="223" t="s">
        <v>500</v>
      </c>
      <c r="N45" s="223" t="s">
        <v>421</v>
      </c>
      <c r="O45" s="223" t="s">
        <v>283</v>
      </c>
      <c r="P45" s="223" t="s">
        <v>283</v>
      </c>
      <c r="Q45" s="223" t="s">
        <v>283</v>
      </c>
      <c r="R45" s="223" t="s">
        <v>253</v>
      </c>
      <c r="S45" s="73" t="s">
        <v>112</v>
      </c>
      <c r="T45" s="73">
        <v>73.09</v>
      </c>
      <c r="U45" s="98">
        <v>0</v>
      </c>
      <c r="V45" s="100">
        <f t="shared" si="6"/>
        <v>73.09</v>
      </c>
      <c r="W45" s="79"/>
      <c r="X45" s="79">
        <f t="shared" si="5"/>
        <v>171761.5</v>
      </c>
      <c r="Y45" s="79"/>
      <c r="Z45" s="79"/>
      <c r="AA45" s="88">
        <v>180000</v>
      </c>
      <c r="AB45" s="88">
        <v>2350</v>
      </c>
      <c r="AC45" s="104">
        <f t="shared" si="7"/>
        <v>0.44444444444444442</v>
      </c>
      <c r="AD45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80000</v>
      </c>
      <c r="AE45" s="85">
        <f>Tabla4[[#This Row],[VALOR TOTAL]]-AF45</f>
        <v>180000</v>
      </c>
      <c r="AF45" s="79">
        <v>0</v>
      </c>
      <c r="AG45" s="79">
        <f>ABONOS!E46</f>
        <v>100000</v>
      </c>
      <c r="AH45" s="487" t="s">
        <v>515</v>
      </c>
      <c r="AI45" s="347" t="s">
        <v>272</v>
      </c>
      <c r="AJ45" s="79"/>
      <c r="AK45" s="79"/>
      <c r="AL45" s="79"/>
      <c r="AM45" s="83">
        <v>46158</v>
      </c>
      <c r="AN45" s="83">
        <v>47254</v>
      </c>
      <c r="AO45" s="223" t="s">
        <v>278</v>
      </c>
      <c r="AP45" s="79">
        <v>100000</v>
      </c>
      <c r="AQ45" s="214" t="s">
        <v>116</v>
      </c>
      <c r="AR45" s="86">
        <v>46175</v>
      </c>
      <c r="AS45" s="79">
        <v>180000</v>
      </c>
      <c r="AT45" s="101">
        <v>30474597</v>
      </c>
      <c r="AU45" s="280" t="s">
        <v>120</v>
      </c>
      <c r="AV45" s="214" t="s">
        <v>120</v>
      </c>
      <c r="AW45" s="88">
        <v>0</v>
      </c>
      <c r="AX45" s="346" t="s">
        <v>515</v>
      </c>
      <c r="AY45" s="158" t="s">
        <v>334</v>
      </c>
      <c r="AZ45" s="86">
        <v>46176</v>
      </c>
      <c r="BA45" s="280" t="s">
        <v>151</v>
      </c>
      <c r="BB45" s="86">
        <v>46184</v>
      </c>
      <c r="BC45" s="90">
        <f>Tabla4[[#This Row],[FECHA RECIBIDO MINUTA LIBERACION]]-Tabla4[[#This Row],[SOLICITUD DE MINUTA LIBERACIÓN]]</f>
        <v>8</v>
      </c>
      <c r="BD45" s="280" t="s">
        <v>151</v>
      </c>
      <c r="BE45" s="86">
        <v>46189</v>
      </c>
      <c r="BF45" s="280" t="s">
        <v>151</v>
      </c>
      <c r="BG45" s="86">
        <v>46189</v>
      </c>
      <c r="BH45" s="86">
        <v>46189</v>
      </c>
      <c r="BI45" s="86">
        <v>46199</v>
      </c>
      <c r="BJ45" s="280" t="s">
        <v>120</v>
      </c>
      <c r="BK45" s="218">
        <v>46234</v>
      </c>
      <c r="BL45" s="218">
        <v>46238</v>
      </c>
      <c r="BM45" s="218">
        <v>46239</v>
      </c>
      <c r="BN45" s="218">
        <v>46239</v>
      </c>
      <c r="BO45" s="218">
        <v>46240</v>
      </c>
      <c r="BP45" s="90">
        <f>Tabla4[[#This Row],[RECEPCIÓN INTERINO]]-Tabla4[[#This Row],[ENVIO A INTERINO]]</f>
        <v>1</v>
      </c>
      <c r="BQ45" s="218">
        <v>46238</v>
      </c>
      <c r="BR45" s="218">
        <v>46238</v>
      </c>
      <c r="BS45" s="218">
        <v>46238</v>
      </c>
      <c r="BT45" s="218">
        <v>46238</v>
      </c>
      <c r="BU45" s="398">
        <v>46241</v>
      </c>
      <c r="BV45" s="158"/>
      <c r="BW45" s="158"/>
      <c r="BX45" s="100"/>
      <c r="BY45" s="158"/>
      <c r="BZ45" s="86">
        <v>46254</v>
      </c>
      <c r="CA45" s="100"/>
      <c r="CB45" s="100"/>
      <c r="CC45" s="158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</row>
    <row r="46" spans="1:99" ht="35" customHeight="1">
      <c r="A46" s="71" t="s">
        <v>77</v>
      </c>
      <c r="B46" s="96">
        <v>-300</v>
      </c>
      <c r="C46" s="73" t="s">
        <v>75</v>
      </c>
      <c r="D46" s="97" t="s">
        <v>327</v>
      </c>
      <c r="E46" s="223" t="s">
        <v>465</v>
      </c>
      <c r="F46" s="319">
        <v>45292</v>
      </c>
      <c r="G46" s="73" t="s">
        <v>76</v>
      </c>
      <c r="H46" s="73" t="s">
        <v>170</v>
      </c>
      <c r="I46" s="73" t="s">
        <v>321</v>
      </c>
      <c r="J46" s="73" t="s">
        <v>379</v>
      </c>
      <c r="K46" s="74">
        <v>34094</v>
      </c>
      <c r="L46" s="73" t="s">
        <v>258</v>
      </c>
      <c r="M46" s="73" t="s">
        <v>313</v>
      </c>
      <c r="N46" s="73" t="s">
        <v>257</v>
      </c>
      <c r="O46" s="73" t="s">
        <v>151</v>
      </c>
      <c r="P46" s="73" t="s">
        <v>283</v>
      </c>
      <c r="Q46" s="73" t="s">
        <v>283</v>
      </c>
      <c r="R46" s="315">
        <v>12000</v>
      </c>
      <c r="S46" s="73" t="s">
        <v>109</v>
      </c>
      <c r="T46" s="73">
        <v>59.94</v>
      </c>
      <c r="U46" s="98">
        <v>0</v>
      </c>
      <c r="V46" s="100">
        <f t="shared" si="6"/>
        <v>59.94</v>
      </c>
      <c r="W46" s="79"/>
      <c r="X46" s="79">
        <f>136483.38</f>
        <v>136483.38</v>
      </c>
      <c r="Y46" s="79"/>
      <c r="Z46" s="79"/>
      <c r="AA46" s="88">
        <v>143389.44</v>
      </c>
      <c r="AB46" s="88">
        <v>2350</v>
      </c>
      <c r="AC46" s="104">
        <f t="shared" si="7"/>
        <v>1</v>
      </c>
      <c r="AD46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143389.44</v>
      </c>
      <c r="AE46" s="85">
        <f>Tabla4[[#This Row],[VALOR TOTAL]]-Tabla4[[#This Row],[MONTO A MULTIBANK]]</f>
        <v>17000</v>
      </c>
      <c r="AF46" s="79">
        <f>Tabla4[[#This Row],[MONTO CPP]]</f>
        <v>126389.44</v>
      </c>
      <c r="AG46" s="79">
        <f>ABONOS!E47</f>
        <v>0</v>
      </c>
      <c r="AH46" s="300" t="str" cm="1">
        <f t="array" ref="AH46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46" s="84" t="s">
        <v>271</v>
      </c>
      <c r="AJ46" s="77" t="s">
        <v>380</v>
      </c>
      <c r="AK46" s="81"/>
      <c r="AL46" s="279" t="s">
        <v>278</v>
      </c>
      <c r="AM46" s="83">
        <v>45610</v>
      </c>
      <c r="AN46" s="83">
        <v>45975</v>
      </c>
      <c r="AO46" s="223" t="s">
        <v>278</v>
      </c>
      <c r="AP46" s="79">
        <v>126389.44</v>
      </c>
      <c r="AQ46" s="88" t="s">
        <v>116</v>
      </c>
      <c r="AR46" s="86">
        <v>45317</v>
      </c>
      <c r="AS46" s="79">
        <f>AA46</f>
        <v>143389.44</v>
      </c>
      <c r="AT46" s="101">
        <v>30474596</v>
      </c>
      <c r="AU46" s="280" t="s">
        <v>271</v>
      </c>
      <c r="AV46" s="214" t="s">
        <v>120</v>
      </c>
      <c r="AW46" s="88">
        <f>ABONOS!O47</f>
        <v>0</v>
      </c>
      <c r="AX46" s="300" t="str" cm="1">
        <f t="array" ref="AX46">_xlfn.IFS(Tabla4[[#This Row],[MONTO5]]=0,"",Tabla4[[#This Row],[SALDO PENDIENTE3]]=0,"PAZ Y SALVO",Tabla4[[#This Row],[SALDO PENDIENTE3]]&gt;0,"PENDIENTE")</f>
        <v>PAZ Y SALVO</v>
      </c>
      <c r="AY46" s="281" t="s">
        <v>334</v>
      </c>
      <c r="AZ46" s="86">
        <v>45623</v>
      </c>
      <c r="BA46" s="100" t="s">
        <v>151</v>
      </c>
      <c r="BB46" s="86">
        <v>45630</v>
      </c>
      <c r="BC46" s="90">
        <f>Tabla4[[#This Row],[FECHA RECIBIDO MINUTA LIBERACION]]-Tabla4[[#This Row],[SOLICITUD DE MINUTA LIBERACIÓN]]</f>
        <v>7</v>
      </c>
      <c r="BD46" s="100" t="s">
        <v>151</v>
      </c>
      <c r="BE46" s="86">
        <v>45631</v>
      </c>
      <c r="BF46" s="280" t="s">
        <v>151</v>
      </c>
      <c r="BG46" s="86">
        <v>45631</v>
      </c>
      <c r="BH46" s="218" t="s">
        <v>120</v>
      </c>
      <c r="BI46" s="218" t="s">
        <v>120</v>
      </c>
      <c r="BJ46" s="282" t="s">
        <v>120</v>
      </c>
      <c r="BK46" s="218" t="s">
        <v>120</v>
      </c>
      <c r="BL46" s="86">
        <v>45653</v>
      </c>
      <c r="BM46" s="86">
        <v>45654</v>
      </c>
      <c r="BN46" s="86">
        <v>45657</v>
      </c>
      <c r="BO46" s="86">
        <v>45663</v>
      </c>
      <c r="BP46" s="90">
        <f>Tabla4[[#This Row],[RECEPCIÓN INTERINO]]-Tabla4[[#This Row],[ENVIO A INTERINO]]</f>
        <v>6</v>
      </c>
      <c r="BQ46" s="86">
        <v>45663</v>
      </c>
      <c r="BR46" s="86">
        <v>45638</v>
      </c>
      <c r="BS46" s="86">
        <v>45663</v>
      </c>
      <c r="BT46" s="86">
        <v>45663</v>
      </c>
      <c r="BU46" s="86">
        <v>45664</v>
      </c>
      <c r="BV46" s="282" t="s">
        <v>151</v>
      </c>
      <c r="BW46" s="218" t="s">
        <v>120</v>
      </c>
      <c r="BX46" s="86">
        <v>45667</v>
      </c>
      <c r="BY46" s="218">
        <v>45671</v>
      </c>
      <c r="BZ46" s="86">
        <v>45674</v>
      </c>
      <c r="CA46" s="86">
        <v>45674</v>
      </c>
      <c r="CB46" s="86">
        <v>45679</v>
      </c>
      <c r="CC46" s="86">
        <v>45707</v>
      </c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</row>
    <row r="47" spans="1:99" ht="35" customHeight="1" thickBot="1">
      <c r="A47" s="106" t="s">
        <v>78</v>
      </c>
      <c r="B47" s="107">
        <v>-300</v>
      </c>
      <c r="C47" s="375" t="s">
        <v>360</v>
      </c>
      <c r="D47" s="109" t="s">
        <v>327</v>
      </c>
      <c r="E47" s="375" t="s">
        <v>465</v>
      </c>
      <c r="F47" s="320">
        <v>45566</v>
      </c>
      <c r="G47" s="108" t="s">
        <v>361</v>
      </c>
      <c r="H47" s="108" t="s">
        <v>170</v>
      </c>
      <c r="I47" s="108" t="s">
        <v>321</v>
      </c>
      <c r="J47" s="375" t="s">
        <v>379</v>
      </c>
      <c r="K47" s="111">
        <v>24705</v>
      </c>
      <c r="L47" s="108" t="s">
        <v>258</v>
      </c>
      <c r="M47" s="108" t="s">
        <v>301</v>
      </c>
      <c r="N47" s="108" t="s">
        <v>257</v>
      </c>
      <c r="O47" s="108" t="s">
        <v>151</v>
      </c>
      <c r="P47" s="108" t="s">
        <v>283</v>
      </c>
      <c r="Q47" s="108" t="s">
        <v>151</v>
      </c>
      <c r="R47" s="316">
        <v>15000</v>
      </c>
      <c r="S47" s="108" t="s">
        <v>108</v>
      </c>
      <c r="T47" s="108">
        <v>65.930000000000007</v>
      </c>
      <c r="U47" s="112">
        <v>0</v>
      </c>
      <c r="V47" s="118">
        <f t="shared" si="6"/>
        <v>65.930000000000007</v>
      </c>
      <c r="W47" s="114"/>
      <c r="X47" s="114">
        <f t="shared" ref="X47:X58" si="8">AB47*T47</f>
        <v>154935.50000000003</v>
      </c>
      <c r="Y47" s="114"/>
      <c r="Z47" s="114"/>
      <c r="AA47" s="115">
        <v>185000</v>
      </c>
      <c r="AB47" s="115">
        <v>2350</v>
      </c>
      <c r="AC47" s="304">
        <f t="shared" si="7"/>
        <v>1</v>
      </c>
      <c r="AD47" s="116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185000</v>
      </c>
      <c r="AE47" s="288">
        <f>Tabla4[[#This Row],[VALOR TOTAL]]-Tabla4[[#This Row],[MONTO A MULTIBANK]]</f>
        <v>14801</v>
      </c>
      <c r="AF47" s="114">
        <f>Tabla4[[#This Row],[MONTO CPP]]</f>
        <v>170199</v>
      </c>
      <c r="AG47" s="114">
        <f>ABONOS!E48</f>
        <v>0</v>
      </c>
      <c r="AH47" s="301" t="str" cm="1">
        <f t="array" ref="AH47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47" s="373" t="s">
        <v>402</v>
      </c>
      <c r="AJ47" s="114"/>
      <c r="AK47" s="114"/>
      <c r="AL47" s="374" t="s">
        <v>278</v>
      </c>
      <c r="AM47" s="220">
        <v>45670</v>
      </c>
      <c r="AN47" s="220">
        <v>46035</v>
      </c>
      <c r="AO47" s="375" t="s">
        <v>278</v>
      </c>
      <c r="AP47" s="114">
        <v>170199</v>
      </c>
      <c r="AQ47" s="215" t="s">
        <v>116</v>
      </c>
      <c r="AR47" s="376">
        <v>45587</v>
      </c>
      <c r="AS47" s="114">
        <v>185000</v>
      </c>
      <c r="AT47" s="120">
        <v>30474595</v>
      </c>
      <c r="AU47" s="380" t="s">
        <v>120</v>
      </c>
      <c r="AV47" s="215" t="s">
        <v>120</v>
      </c>
      <c r="AW47" s="377">
        <f>ABONOS!O48</f>
        <v>0</v>
      </c>
      <c r="AX47" s="378" t="str" cm="1">
        <f t="array" ref="AX47">_xlfn.IFS(Tabla4[[#This Row],[MONTO5]]=0,"",Tabla4[[#This Row],[SALDO PENDIENTE3]]=0,"PAZ Y SALVO",Tabla4[[#This Row],[SALDO PENDIENTE3]]&gt;0,"PENDIENTE")</f>
        <v>PAZ Y SALVO</v>
      </c>
      <c r="AY47" s="379" t="s">
        <v>334</v>
      </c>
      <c r="AZ47" s="117">
        <v>45672</v>
      </c>
      <c r="BA47" s="380" t="s">
        <v>151</v>
      </c>
      <c r="BB47" s="117">
        <v>45678</v>
      </c>
      <c r="BC47" s="122">
        <f>Tabla4[[#This Row],[FECHA RECIBIDO MINUTA LIBERACION]]-Tabla4[[#This Row],[SOLICITUD DE MINUTA LIBERACIÓN]]</f>
        <v>6</v>
      </c>
      <c r="BD47" s="380" t="s">
        <v>151</v>
      </c>
      <c r="BE47" s="381">
        <v>45678</v>
      </c>
      <c r="BF47" s="380" t="s">
        <v>151</v>
      </c>
      <c r="BG47" s="117">
        <v>45678</v>
      </c>
      <c r="BH47" s="117">
        <v>45679</v>
      </c>
      <c r="BI47" s="117">
        <v>45689</v>
      </c>
      <c r="BJ47" s="375" t="s">
        <v>359</v>
      </c>
      <c r="BK47" s="381" t="s">
        <v>120</v>
      </c>
      <c r="BL47" s="117">
        <v>45714</v>
      </c>
      <c r="BM47" s="117">
        <v>45714</v>
      </c>
      <c r="BN47" s="117">
        <v>45714</v>
      </c>
      <c r="BO47" s="382">
        <v>45714</v>
      </c>
      <c r="BP47" s="122">
        <f>Tabla4[[#This Row],[RECEPCIÓN INTERINO]]-Tabla4[[#This Row],[ENVIO A INTERINO]]</f>
        <v>0</v>
      </c>
      <c r="BQ47" s="117">
        <v>45713</v>
      </c>
      <c r="BR47" s="117">
        <v>45713</v>
      </c>
      <c r="BS47" s="117">
        <v>45713</v>
      </c>
      <c r="BT47" s="117">
        <v>45713</v>
      </c>
      <c r="BU47" s="381">
        <v>45722</v>
      </c>
      <c r="BV47" s="380" t="s">
        <v>151</v>
      </c>
      <c r="BW47" s="381" t="s">
        <v>120</v>
      </c>
      <c r="BX47" s="117">
        <v>45735</v>
      </c>
      <c r="BY47" s="117">
        <v>45736</v>
      </c>
      <c r="BZ47" s="117">
        <v>45761</v>
      </c>
      <c r="CA47" s="117">
        <v>45761</v>
      </c>
      <c r="CB47" s="117">
        <v>45776</v>
      </c>
      <c r="CC47" s="117">
        <v>45819</v>
      </c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</row>
    <row r="48" spans="1:99" ht="35" customHeight="1">
      <c r="A48" s="168" t="s">
        <v>79</v>
      </c>
      <c r="B48" s="224">
        <v>-400</v>
      </c>
      <c r="C48" s="169"/>
      <c r="D48" s="56" t="s">
        <v>439</v>
      </c>
      <c r="E48" s="56" t="s">
        <v>247</v>
      </c>
      <c r="F48" s="322"/>
      <c r="G48" s="169"/>
      <c r="H48" s="169"/>
      <c r="I48" s="170"/>
      <c r="J48" s="169"/>
      <c r="K48" s="171"/>
      <c r="L48" s="169"/>
      <c r="M48" s="169"/>
      <c r="N48" s="169"/>
      <c r="O48" s="169"/>
      <c r="P48" s="169"/>
      <c r="Q48" s="169"/>
      <c r="R48" s="169"/>
      <c r="S48" s="169" t="s">
        <v>108</v>
      </c>
      <c r="T48" s="169">
        <v>65.930000000000007</v>
      </c>
      <c r="U48" s="225">
        <v>97.72</v>
      </c>
      <c r="V48" s="174">
        <f t="shared" si="6"/>
        <v>163.65</v>
      </c>
      <c r="W48" s="172">
        <f t="shared" ref="W48:W58" si="9">U48*80</f>
        <v>7817.6</v>
      </c>
      <c r="X48" s="172">
        <f t="shared" si="8"/>
        <v>154935.50000000003</v>
      </c>
      <c r="Y48" s="172"/>
      <c r="Z48" s="172"/>
      <c r="AA48" s="173">
        <v>220862.25</v>
      </c>
      <c r="AB48" s="173">
        <v>2350</v>
      </c>
      <c r="AC48" s="459">
        <f t="shared" si="7"/>
        <v>0</v>
      </c>
      <c r="AD48" s="468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0</v>
      </c>
      <c r="AE48" s="177"/>
      <c r="AF48" s="172"/>
      <c r="AG48" s="172">
        <f>ABONOS!E49</f>
        <v>0</v>
      </c>
      <c r="AH48" s="309" t="str" cm="1">
        <f t="array" ref="AH48">_xlfn.IFS(Tabla4[[#This Row],[RESERVADAS, VENDIDAS]]="DISPONIBLE","",Tabla4[[#This Row],[SALDO PENDIENTE]]=0,"PAZ Y SALVO",Tabla4[[#This Row],[SALDO PENDIENTE]]=Tabla4[[#This Row],[MONTO CPP]],"COBRO CPP",Tabla4[[#This Row],[SALDO PENDIENTE]]&gt;0,"PENDIENTE")</f>
        <v/>
      </c>
      <c r="AI48" s="226"/>
      <c r="AJ48" s="172"/>
      <c r="AK48" s="172"/>
      <c r="AL48" s="172"/>
      <c r="AM48" s="175"/>
      <c r="AN48" s="175"/>
      <c r="AO48" s="169"/>
      <c r="AP48" s="172"/>
      <c r="AQ48" s="61" t="s">
        <v>117</v>
      </c>
      <c r="AR48" s="63"/>
      <c r="AS48" s="172"/>
      <c r="AT48" s="178">
        <v>30474617</v>
      </c>
      <c r="AU48" s="174"/>
      <c r="AV48" s="179"/>
      <c r="AW48" s="173">
        <f>ABONOS!O49</f>
        <v>0</v>
      </c>
      <c r="AX48" s="309" t="str" cm="1">
        <f t="array" ref="AX48">_xlfn.IFS(Tabla4[[#This Row],[MONTO5]]=0,"",Tabla4[[#This Row],[SALDO PENDIENTE3]]=0,"PAZ Y SALVO",Tabla4[[#This Row],[SALDO PENDIENTE3]]&gt;0,"PENDIENTE")</f>
        <v/>
      </c>
      <c r="AY48" s="189"/>
      <c r="AZ48" s="189"/>
      <c r="BA48" s="174"/>
      <c r="BB48" s="174"/>
      <c r="BC48" s="180">
        <f>Tabla4[[#This Row],[FECHA RECIBIDO MINUTA LIBERACION]]-Tabla4[[#This Row],[SOLICITUD DE MINUTA LIBERACIÓN]]</f>
        <v>0</v>
      </c>
      <c r="BD48" s="174"/>
      <c r="BE48" s="174"/>
      <c r="BF48" s="174"/>
      <c r="BG48" s="174"/>
      <c r="BH48" s="174"/>
      <c r="BI48" s="174"/>
      <c r="BJ48" s="174"/>
      <c r="BK48" s="174"/>
      <c r="BL48" s="174"/>
      <c r="BM48" s="174"/>
      <c r="BN48" s="174"/>
      <c r="BO48" s="174"/>
      <c r="BP48" s="180">
        <f>Tabla4[[#This Row],[RECEPCIÓN INTERINO]]-Tabla4[[#This Row],[ENVIO A INTERINO]]</f>
        <v>0</v>
      </c>
      <c r="BQ48" s="174"/>
      <c r="BR48" s="174"/>
      <c r="BS48" s="174"/>
      <c r="BT48" s="174"/>
      <c r="BU48" s="174"/>
      <c r="BV48" s="174"/>
      <c r="BW48" s="174"/>
      <c r="BX48" s="174"/>
      <c r="BY48" s="174"/>
      <c r="BZ48" s="174"/>
      <c r="CA48" s="174"/>
      <c r="CB48" s="174"/>
      <c r="CC48" s="17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</row>
    <row r="49" spans="1:99" ht="35" customHeight="1">
      <c r="A49" s="71" t="s">
        <v>80</v>
      </c>
      <c r="B49" s="84">
        <v>-400</v>
      </c>
      <c r="C49" s="223" t="s">
        <v>473</v>
      </c>
      <c r="D49" s="484" t="s">
        <v>327</v>
      </c>
      <c r="E49" s="223" t="s">
        <v>465</v>
      </c>
      <c r="F49" s="319">
        <v>45867</v>
      </c>
      <c r="G49" s="223">
        <v>558796241</v>
      </c>
      <c r="H49" s="223" t="s">
        <v>139</v>
      </c>
      <c r="I49" s="223" t="s">
        <v>320</v>
      </c>
      <c r="J49" s="223" t="s">
        <v>375</v>
      </c>
      <c r="K49" s="74">
        <v>22693</v>
      </c>
      <c r="L49" s="223" t="s">
        <v>312</v>
      </c>
      <c r="M49" s="223"/>
      <c r="N49" s="223" t="s">
        <v>250</v>
      </c>
      <c r="O49" s="223"/>
      <c r="P49" s="223"/>
      <c r="Q49" s="223"/>
      <c r="R49" s="73"/>
      <c r="S49" s="73" t="s">
        <v>109</v>
      </c>
      <c r="T49" s="73">
        <v>59.94</v>
      </c>
      <c r="U49" s="183">
        <v>19.3</v>
      </c>
      <c r="V49" s="100">
        <f t="shared" si="6"/>
        <v>79.239999999999995</v>
      </c>
      <c r="W49" s="79">
        <f t="shared" si="9"/>
        <v>1544</v>
      </c>
      <c r="X49" s="79">
        <f t="shared" si="8"/>
        <v>140859</v>
      </c>
      <c r="Y49" s="79"/>
      <c r="Z49" s="79"/>
      <c r="AA49" s="88">
        <v>182000</v>
      </c>
      <c r="AB49" s="88">
        <v>2350</v>
      </c>
      <c r="AC49" s="104">
        <f t="shared" si="7"/>
        <v>1</v>
      </c>
      <c r="AD49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182000</v>
      </c>
      <c r="AE49" s="289">
        <f>Tabla4[[#This Row],[VALOR TOTAL]]-Tabla4[[#This Row],[MONTO A MULTIBANK]]</f>
        <v>182000</v>
      </c>
      <c r="AF49" s="79">
        <v>0</v>
      </c>
      <c r="AG49" s="79">
        <f>ABONOS!E50</f>
        <v>0</v>
      </c>
      <c r="AH49" s="346" t="str" cm="1">
        <f t="array" ref="AH49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49" s="150" t="s">
        <v>253</v>
      </c>
      <c r="AJ49" s="150" t="s">
        <v>253</v>
      </c>
      <c r="AK49" s="150" t="s">
        <v>253</v>
      </c>
      <c r="AL49" s="150" t="s">
        <v>253</v>
      </c>
      <c r="AM49" s="150" t="s">
        <v>253</v>
      </c>
      <c r="AN49" s="150" t="s">
        <v>253</v>
      </c>
      <c r="AO49" s="150" t="s">
        <v>253</v>
      </c>
      <c r="AP49" s="150" t="s">
        <v>253</v>
      </c>
      <c r="AQ49" s="214" t="s">
        <v>116</v>
      </c>
      <c r="AR49" s="86">
        <v>45869</v>
      </c>
      <c r="AS49" s="79">
        <v>182000</v>
      </c>
      <c r="AT49" s="101">
        <v>30474616</v>
      </c>
      <c r="AU49" s="280" t="s">
        <v>252</v>
      </c>
      <c r="AV49" s="102">
        <v>1704</v>
      </c>
      <c r="AW49" s="88">
        <f>ABONOS!O50</f>
        <v>0</v>
      </c>
      <c r="AX49" s="346" t="str" cm="1">
        <f t="array" ref="AX49">_xlfn.IFS(Tabla4[[#This Row],[MONTO5]]=0,"",Tabla4[[#This Row],[SALDO PENDIENTE3]]=0,"PAZ Y SALVO",Tabla4[[#This Row],[SALDO PENDIENTE3]]&gt;0,"PENDIENTE")</f>
        <v>PAZ Y SALVO</v>
      </c>
      <c r="AY49" s="158" t="s">
        <v>334</v>
      </c>
      <c r="AZ49" s="86">
        <v>45926</v>
      </c>
      <c r="BA49" s="280" t="s">
        <v>151</v>
      </c>
      <c r="BB49" s="86">
        <v>45933</v>
      </c>
      <c r="BC49" s="90">
        <f>Tabla4[[#This Row],[FECHA RECIBIDO MINUTA LIBERACION]]-Tabla4[[#This Row],[SOLICITUD DE MINUTA LIBERACIÓN]]</f>
        <v>7</v>
      </c>
      <c r="BD49" s="280" t="s">
        <v>151</v>
      </c>
      <c r="BE49" s="86">
        <v>45945</v>
      </c>
      <c r="BF49" s="280" t="s">
        <v>253</v>
      </c>
      <c r="BG49" s="280" t="s">
        <v>253</v>
      </c>
      <c r="BH49" s="280" t="s">
        <v>253</v>
      </c>
      <c r="BI49" s="280" t="s">
        <v>253</v>
      </c>
      <c r="BJ49" s="280" t="s">
        <v>253</v>
      </c>
      <c r="BK49" s="86">
        <v>45945</v>
      </c>
      <c r="BL49" s="86">
        <v>45950</v>
      </c>
      <c r="BM49" s="86">
        <v>45945</v>
      </c>
      <c r="BN49" s="86">
        <v>45950</v>
      </c>
      <c r="BO49" s="86">
        <v>45951</v>
      </c>
      <c r="BP49" s="90">
        <f>Tabla4[[#This Row],[RECEPCIÓN INTERINO]]-Tabla4[[#This Row],[ENVIO A INTERINO]]</f>
        <v>1</v>
      </c>
      <c r="BQ49" s="86">
        <v>45974</v>
      </c>
      <c r="BR49" s="86">
        <v>45968</v>
      </c>
      <c r="BS49" s="86">
        <v>45974</v>
      </c>
      <c r="BT49" s="86">
        <v>45974</v>
      </c>
      <c r="BU49" s="280" t="s">
        <v>253</v>
      </c>
      <c r="BV49" s="407" t="s">
        <v>151</v>
      </c>
      <c r="BW49" s="86">
        <v>45974</v>
      </c>
      <c r="BX49" s="86">
        <v>45975</v>
      </c>
      <c r="BY49" s="86">
        <v>45975</v>
      </c>
      <c r="BZ49" s="86">
        <v>45981</v>
      </c>
      <c r="CA49" s="218" t="s">
        <v>253</v>
      </c>
      <c r="CB49" s="86">
        <v>45952</v>
      </c>
      <c r="CC49" s="86">
        <v>45943</v>
      </c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</row>
    <row r="50" spans="1:99" ht="35" customHeight="1">
      <c r="A50" s="71" t="s">
        <v>81</v>
      </c>
      <c r="B50" s="84">
        <v>-400</v>
      </c>
      <c r="C50" s="223" t="s">
        <v>414</v>
      </c>
      <c r="D50" s="97" t="s">
        <v>327</v>
      </c>
      <c r="E50" s="223" t="s">
        <v>465</v>
      </c>
      <c r="F50" s="319">
        <v>45675</v>
      </c>
      <c r="G50" s="73">
        <v>682638818</v>
      </c>
      <c r="H50" s="73" t="s">
        <v>139</v>
      </c>
      <c r="I50" s="73" t="s">
        <v>320</v>
      </c>
      <c r="J50" s="223" t="s">
        <v>375</v>
      </c>
      <c r="K50" s="74">
        <v>28066</v>
      </c>
      <c r="L50" s="73" t="s">
        <v>258</v>
      </c>
      <c r="M50" s="73" t="s">
        <v>314</v>
      </c>
      <c r="N50" s="73" t="s">
        <v>257</v>
      </c>
      <c r="O50" s="73" t="s">
        <v>283</v>
      </c>
      <c r="P50" s="73" t="s">
        <v>283</v>
      </c>
      <c r="Q50" s="73" t="s">
        <v>253</v>
      </c>
      <c r="R50" s="73"/>
      <c r="S50" s="73" t="s">
        <v>112</v>
      </c>
      <c r="T50" s="73">
        <v>73.09</v>
      </c>
      <c r="U50" s="183">
        <v>19.95</v>
      </c>
      <c r="V50" s="100">
        <f t="shared" si="6"/>
        <v>93.04</v>
      </c>
      <c r="W50" s="79">
        <f t="shared" si="9"/>
        <v>1596</v>
      </c>
      <c r="X50" s="79">
        <f t="shared" si="8"/>
        <v>171761.5</v>
      </c>
      <c r="Y50" s="79"/>
      <c r="Z50" s="79"/>
      <c r="AA50" s="88">
        <v>236000</v>
      </c>
      <c r="AB50" s="88">
        <v>2350</v>
      </c>
      <c r="AC50" s="104">
        <f t="shared" si="7"/>
        <v>1</v>
      </c>
      <c r="AD50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236000</v>
      </c>
      <c r="AE50" s="85">
        <f>Tabla4[[#This Row],[VALOR TOTAL]]-Tabla4[[#This Row],[MONTO A MULTIBANK]]</f>
        <v>68700</v>
      </c>
      <c r="AF50" s="79">
        <f>Tabla4[[#This Row],[MONTO CPP]]</f>
        <v>167300</v>
      </c>
      <c r="AG50" s="79">
        <f>ABONOS!E51</f>
        <v>0</v>
      </c>
      <c r="AH50" s="346" t="str" cm="1">
        <f t="array" ref="AH50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50" s="347" t="s">
        <v>464</v>
      </c>
      <c r="AJ50" s="79"/>
      <c r="AK50" s="79"/>
      <c r="AL50" s="222" t="s">
        <v>278</v>
      </c>
      <c r="AM50" s="83">
        <v>45783</v>
      </c>
      <c r="AN50" s="83"/>
      <c r="AO50" s="223" t="s">
        <v>278</v>
      </c>
      <c r="AP50" s="79">
        <v>167300</v>
      </c>
      <c r="AQ50" s="482" t="s">
        <v>116</v>
      </c>
      <c r="AR50" s="397">
        <v>45785</v>
      </c>
      <c r="AS50" s="79">
        <v>236000</v>
      </c>
      <c r="AT50" s="101">
        <v>30474615</v>
      </c>
      <c r="AU50" s="280" t="s">
        <v>120</v>
      </c>
      <c r="AV50" s="214" t="s">
        <v>120</v>
      </c>
      <c r="AW50" s="88">
        <f>ABONOS!O51</f>
        <v>0</v>
      </c>
      <c r="AX50" s="346" t="str" cm="1">
        <f t="array" ref="AX50">_xlfn.IFS(Tabla4[[#This Row],[MONTO5]]=0,"",Tabla4[[#This Row],[SALDO PENDIENTE3]]=0,"PAZ Y SALVO",Tabla4[[#This Row],[SALDO PENDIENTE3]]&gt;0,"PENDIENTE")</f>
        <v>PAZ Y SALVO</v>
      </c>
      <c r="AY50" s="158" t="s">
        <v>334</v>
      </c>
      <c r="AZ50" s="86">
        <v>45796</v>
      </c>
      <c r="BA50" s="280" t="s">
        <v>151</v>
      </c>
      <c r="BB50" s="86">
        <v>45800</v>
      </c>
      <c r="BC50" s="90">
        <f>Tabla4[[#This Row],[FECHA RECIBIDO MINUTA LIBERACION]]-Tabla4[[#This Row],[SOLICITUD DE MINUTA LIBERACIÓN]]</f>
        <v>4</v>
      </c>
      <c r="BD50" s="280" t="s">
        <v>151</v>
      </c>
      <c r="BE50" s="86">
        <v>45801</v>
      </c>
      <c r="BF50" s="280" t="s">
        <v>151</v>
      </c>
      <c r="BG50" s="218">
        <v>45801</v>
      </c>
      <c r="BH50" s="280" t="s">
        <v>253</v>
      </c>
      <c r="BI50" s="280" t="s">
        <v>253</v>
      </c>
      <c r="BJ50" s="280" t="s">
        <v>253</v>
      </c>
      <c r="BK50" s="86">
        <v>45825</v>
      </c>
      <c r="BL50" s="86">
        <v>45824</v>
      </c>
      <c r="BM50" s="86">
        <v>45828</v>
      </c>
      <c r="BN50" s="86">
        <v>45828</v>
      </c>
      <c r="BO50" s="86">
        <v>45831</v>
      </c>
      <c r="BP50" s="90">
        <f>Tabla4[[#This Row],[RECEPCIÓN INTERINO]]-Tabla4[[#This Row],[ENVIO A INTERINO]]</f>
        <v>3</v>
      </c>
      <c r="BQ50" s="86">
        <v>45833</v>
      </c>
      <c r="BR50" s="86">
        <v>45825</v>
      </c>
      <c r="BS50" s="135">
        <v>45833</v>
      </c>
      <c r="BT50" s="135">
        <v>45825</v>
      </c>
      <c r="BU50" s="86">
        <v>45834</v>
      </c>
      <c r="BV50" s="280" t="s">
        <v>151</v>
      </c>
      <c r="BW50" s="483" t="s">
        <v>120</v>
      </c>
      <c r="BX50" s="135">
        <v>45845</v>
      </c>
      <c r="BY50" s="135">
        <v>45849</v>
      </c>
      <c r="BZ50" s="135">
        <v>45849</v>
      </c>
      <c r="CA50" s="86">
        <v>45849</v>
      </c>
      <c r="CB50" s="135">
        <v>45856</v>
      </c>
      <c r="CC50" s="135">
        <v>45873</v>
      </c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</row>
    <row r="51" spans="1:99" s="152" customFormat="1" ht="35" customHeight="1">
      <c r="A51" s="71" t="s">
        <v>84</v>
      </c>
      <c r="B51" s="96">
        <v>-400</v>
      </c>
      <c r="C51" s="73" t="s">
        <v>82</v>
      </c>
      <c r="D51" s="97" t="s">
        <v>327</v>
      </c>
      <c r="E51" s="223" t="s">
        <v>465</v>
      </c>
      <c r="F51" s="319">
        <v>45413</v>
      </c>
      <c r="G51" s="73" t="s">
        <v>83</v>
      </c>
      <c r="H51" s="73" t="s">
        <v>265</v>
      </c>
      <c r="I51" s="73" t="s">
        <v>322</v>
      </c>
      <c r="J51" s="73" t="s">
        <v>379</v>
      </c>
      <c r="K51" s="74">
        <v>31368</v>
      </c>
      <c r="L51" s="73" t="s">
        <v>251</v>
      </c>
      <c r="M51" s="73" t="s">
        <v>314</v>
      </c>
      <c r="N51" s="73" t="s">
        <v>257</v>
      </c>
      <c r="O51" s="73" t="s">
        <v>151</v>
      </c>
      <c r="P51" s="73"/>
      <c r="Q51" s="73" t="s">
        <v>151</v>
      </c>
      <c r="R51" s="315"/>
      <c r="S51" s="73" t="s">
        <v>112</v>
      </c>
      <c r="T51" s="73">
        <v>73.09</v>
      </c>
      <c r="U51" s="183">
        <v>19.95</v>
      </c>
      <c r="V51" s="100">
        <f t="shared" si="6"/>
        <v>93.04</v>
      </c>
      <c r="W51" s="79">
        <f t="shared" si="9"/>
        <v>1596</v>
      </c>
      <c r="X51" s="79">
        <f t="shared" si="8"/>
        <v>171761.5</v>
      </c>
      <c r="Y51" s="79"/>
      <c r="Z51" s="79"/>
      <c r="AA51" s="88">
        <v>212650</v>
      </c>
      <c r="AB51" s="88">
        <v>2350</v>
      </c>
      <c r="AC51" s="104">
        <f t="shared" si="7"/>
        <v>1</v>
      </c>
      <c r="AD51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212650</v>
      </c>
      <c r="AE51" s="85">
        <f>Tabla4[[#This Row],[VALOR TOTAL]]-Tabla4[[#This Row],[MONTO A MULTIBANK]]</f>
        <v>74427.5</v>
      </c>
      <c r="AF51" s="79">
        <f>Tabla4[[#This Row],[VALOR TOTAL]]*65%</f>
        <v>138222.5</v>
      </c>
      <c r="AG51" s="79">
        <f>ABONOS!E52</f>
        <v>0</v>
      </c>
      <c r="AH51" s="300" t="str" cm="1">
        <f t="array" ref="AH51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51" s="84" t="s">
        <v>125</v>
      </c>
      <c r="AJ51" s="79" t="s">
        <v>267</v>
      </c>
      <c r="AK51" s="81" t="s">
        <v>269</v>
      </c>
      <c r="AL51" s="184" t="s">
        <v>279</v>
      </c>
      <c r="AM51" s="83">
        <v>45454</v>
      </c>
      <c r="AN51" s="83" t="s">
        <v>253</v>
      </c>
      <c r="AO51" s="223" t="s">
        <v>278</v>
      </c>
      <c r="AP51" s="79">
        <v>111650</v>
      </c>
      <c r="AQ51" s="88" t="s">
        <v>116</v>
      </c>
      <c r="AR51" s="86">
        <v>45423</v>
      </c>
      <c r="AS51" s="79">
        <f>AA51</f>
        <v>212650</v>
      </c>
      <c r="AT51" s="101">
        <v>30474614</v>
      </c>
      <c r="AU51" s="100" t="s">
        <v>125</v>
      </c>
      <c r="AV51" s="88" t="s">
        <v>120</v>
      </c>
      <c r="AW51" s="88">
        <f>ABONOS!O52</f>
        <v>0</v>
      </c>
      <c r="AX51" s="300" t="str" cm="1">
        <f t="array" ref="AX51">_xlfn.IFS(Tabla4[[#This Row],[MONTO5]]=0,"",Tabla4[[#This Row],[SALDO PENDIENTE3]]=0,"PAZ Y SALVO",Tabla4[[#This Row],[SALDO PENDIENTE3]]&gt;0,"PENDIENTE")</f>
        <v>PAZ Y SALVO</v>
      </c>
      <c r="AY51" s="158" t="s">
        <v>334</v>
      </c>
      <c r="AZ51" s="86">
        <v>45455</v>
      </c>
      <c r="BA51" s="100" t="s">
        <v>151</v>
      </c>
      <c r="BB51" s="86">
        <v>45496</v>
      </c>
      <c r="BC51" s="90">
        <f>Tabla4[[#This Row],[FECHA RECIBIDO MINUTA LIBERACION]]-Tabla4[[#This Row],[SOLICITUD DE MINUTA LIBERACIÓN]]</f>
        <v>41</v>
      </c>
      <c r="BD51" s="100" t="s">
        <v>151</v>
      </c>
      <c r="BE51" s="86">
        <v>45468</v>
      </c>
      <c r="BF51" s="100" t="s">
        <v>151</v>
      </c>
      <c r="BG51" s="86">
        <v>45468</v>
      </c>
      <c r="BH51" s="86">
        <v>45468</v>
      </c>
      <c r="BI51" s="86">
        <v>45481</v>
      </c>
      <c r="BJ51" s="91" t="s">
        <v>358</v>
      </c>
      <c r="BK51" s="86">
        <v>45504</v>
      </c>
      <c r="BL51" s="86">
        <v>45503</v>
      </c>
      <c r="BM51" s="86">
        <v>45504</v>
      </c>
      <c r="BN51" s="86">
        <v>45504</v>
      </c>
      <c r="BO51" s="86">
        <v>45511</v>
      </c>
      <c r="BP51" s="90">
        <f>Tabla4[[#This Row],[RECEPCIÓN INTERINO]]-Tabla4[[#This Row],[ENVIO A INTERINO]]</f>
        <v>7</v>
      </c>
      <c r="BQ51" s="86">
        <v>45511</v>
      </c>
      <c r="BR51" s="86">
        <v>45511</v>
      </c>
      <c r="BS51" s="86">
        <v>45511</v>
      </c>
      <c r="BT51" s="86">
        <v>45511</v>
      </c>
      <c r="BU51" s="86">
        <v>45512</v>
      </c>
      <c r="BV51" s="91" t="s">
        <v>151</v>
      </c>
      <c r="BW51" s="86">
        <v>45503</v>
      </c>
      <c r="BX51" s="86">
        <v>45517</v>
      </c>
      <c r="BY51" s="86">
        <v>45520</v>
      </c>
      <c r="BZ51" s="86">
        <v>45524</v>
      </c>
      <c r="CA51" s="86">
        <v>45524</v>
      </c>
      <c r="CB51" s="86">
        <v>45530</v>
      </c>
      <c r="CC51" s="86">
        <v>45534</v>
      </c>
    </row>
    <row r="52" spans="1:99" ht="35" customHeight="1">
      <c r="A52" s="55" t="s">
        <v>85</v>
      </c>
      <c r="B52" s="65">
        <v>-400</v>
      </c>
      <c r="C52" s="147"/>
      <c r="D52" s="56" t="s">
        <v>439</v>
      </c>
      <c r="E52" s="56" t="s">
        <v>247</v>
      </c>
      <c r="F52" s="238"/>
      <c r="G52" s="56"/>
      <c r="H52" s="56"/>
      <c r="I52" s="56"/>
      <c r="J52" s="56"/>
      <c r="K52" s="57"/>
      <c r="L52" s="56"/>
      <c r="M52" s="56"/>
      <c r="N52" s="56"/>
      <c r="O52" s="56"/>
      <c r="P52" s="56"/>
      <c r="Q52" s="56"/>
      <c r="R52" s="56"/>
      <c r="S52" s="56" t="s">
        <v>112</v>
      </c>
      <c r="T52" s="56">
        <v>73.09</v>
      </c>
      <c r="U52" s="185">
        <v>19.88</v>
      </c>
      <c r="V52" s="64">
        <f t="shared" si="6"/>
        <v>92.97</v>
      </c>
      <c r="W52" s="60">
        <f t="shared" si="9"/>
        <v>1590.3999999999999</v>
      </c>
      <c r="X52" s="60">
        <f t="shared" si="8"/>
        <v>171761.5</v>
      </c>
      <c r="Y52" s="60"/>
      <c r="Z52" s="60"/>
      <c r="AA52" s="61">
        <v>250000</v>
      </c>
      <c r="AB52" s="61">
        <v>2350</v>
      </c>
      <c r="AC52" s="306">
        <f t="shared" si="7"/>
        <v>0</v>
      </c>
      <c r="AD52" s="305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0</v>
      </c>
      <c r="AE52" s="66"/>
      <c r="AF52" s="60"/>
      <c r="AG52" s="60">
        <f>ABONOS!E53</f>
        <v>0</v>
      </c>
      <c r="AH52" s="300" t="str" cm="1">
        <f t="array" ref="AH52">_xlfn.IFS(Tabla4[[#This Row],[RESERVADAS, VENDIDAS]]="DISPONIBLE","",Tabla4[[#This Row],[SALDO PENDIENTE]]=0,"PAZ Y SALVO",Tabla4[[#This Row],[SALDO PENDIENTE]]=Tabla4[[#This Row],[MONTO CPP]],"COBRO CPP",Tabla4[[#This Row],[SALDO PENDIENTE]]&gt;0,"PENDIENTE")</f>
        <v/>
      </c>
      <c r="AI52" s="65"/>
      <c r="AJ52" s="60"/>
      <c r="AK52" s="60"/>
      <c r="AL52" s="60"/>
      <c r="AM52" s="148"/>
      <c r="AN52" s="148"/>
      <c r="AO52" s="56"/>
      <c r="AP52" s="60"/>
      <c r="AQ52" s="61" t="s">
        <v>117</v>
      </c>
      <c r="AR52" s="63"/>
      <c r="AS52" s="60"/>
      <c r="AT52" s="67">
        <v>30474613</v>
      </c>
      <c r="AU52" s="64"/>
      <c r="AV52" s="68"/>
      <c r="AW52" s="61">
        <f>ABONOS!O53</f>
        <v>0</v>
      </c>
      <c r="AX52" s="300" t="str" cm="1">
        <f t="array" ref="AX52">_xlfn.IFS(Tabla4[[#This Row],[MONTO5]]=0,"",Tabla4[[#This Row],[SALDO PENDIENTE3]]=0,"PAZ Y SALVO",Tabla4[[#This Row],[SALDO PENDIENTE3]]&gt;0,"PENDIENTE")</f>
        <v/>
      </c>
      <c r="AY52" s="69"/>
      <c r="AZ52" s="69"/>
      <c r="BA52" s="64"/>
      <c r="BB52" s="64"/>
      <c r="BC52" s="70">
        <f>Tabla4[[#This Row],[FECHA RECIBIDO MINUTA LIBERACION]]-Tabla4[[#This Row],[SOLICITUD DE MINUTA LIBERACIÓN]]</f>
        <v>0</v>
      </c>
      <c r="BD52" s="69"/>
      <c r="BE52" s="69"/>
      <c r="BF52" s="64"/>
      <c r="BG52" s="69"/>
      <c r="BH52" s="69"/>
      <c r="BI52" s="69"/>
      <c r="BJ52" s="69"/>
      <c r="BK52" s="69"/>
      <c r="BL52" s="64"/>
      <c r="BM52" s="69"/>
      <c r="BN52" s="69"/>
      <c r="BO52" s="69"/>
      <c r="BP52" s="70">
        <f>Tabla4[[#This Row],[RECEPCIÓN INTERINO]]-Tabla4[[#This Row],[ENVIO A INTERINO]]</f>
        <v>0</v>
      </c>
      <c r="BQ52" s="64"/>
      <c r="BR52" s="64"/>
      <c r="BS52" s="64"/>
      <c r="BT52" s="64"/>
      <c r="BU52" s="64"/>
      <c r="BV52" s="69"/>
      <c r="BW52" s="69"/>
      <c r="BX52" s="64"/>
      <c r="BY52" s="69"/>
      <c r="BZ52" s="69"/>
      <c r="CA52" s="64"/>
      <c r="CB52" s="64"/>
      <c r="CC52" s="69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</row>
    <row r="53" spans="1:99" ht="35" customHeight="1">
      <c r="A53" s="71" t="s">
        <v>86</v>
      </c>
      <c r="B53" s="96">
        <v>-400</v>
      </c>
      <c r="C53" s="223" t="s">
        <v>399</v>
      </c>
      <c r="D53" s="97" t="s">
        <v>327</v>
      </c>
      <c r="E53" s="223" t="s">
        <v>465</v>
      </c>
      <c r="F53" s="319">
        <v>45505</v>
      </c>
      <c r="G53" s="73">
        <v>532922899</v>
      </c>
      <c r="H53" s="73" t="s">
        <v>139</v>
      </c>
      <c r="I53" s="73" t="s">
        <v>320</v>
      </c>
      <c r="J53" s="223" t="s">
        <v>373</v>
      </c>
      <c r="K53" s="74">
        <v>19755</v>
      </c>
      <c r="L53" s="73" t="s">
        <v>251</v>
      </c>
      <c r="M53" s="73" t="s">
        <v>350</v>
      </c>
      <c r="N53" s="73" t="s">
        <v>250</v>
      </c>
      <c r="O53" s="73"/>
      <c r="P53" s="73"/>
      <c r="Q53" s="73"/>
      <c r="R53" s="73"/>
      <c r="S53" s="73" t="s">
        <v>112</v>
      </c>
      <c r="T53" s="73">
        <v>73.98</v>
      </c>
      <c r="U53" s="183">
        <v>28.43</v>
      </c>
      <c r="V53" s="100">
        <f t="shared" si="6"/>
        <v>102.41</v>
      </c>
      <c r="W53" s="79">
        <f t="shared" si="9"/>
        <v>2274.4</v>
      </c>
      <c r="X53" s="79">
        <f t="shared" si="8"/>
        <v>173853</v>
      </c>
      <c r="Y53" s="79"/>
      <c r="Z53" s="79"/>
      <c r="AA53" s="88">
        <v>250000</v>
      </c>
      <c r="AB53" s="88">
        <v>2350</v>
      </c>
      <c r="AC53" s="104">
        <f t="shared" si="7"/>
        <v>1</v>
      </c>
      <c r="AD53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250000</v>
      </c>
      <c r="AE53" s="85">
        <f>Tabla4[[#This Row],[VALOR TOTAL]]-Tabla4[[#This Row],[MONTO A MULTIBANK]]</f>
        <v>75000</v>
      </c>
      <c r="AF53" s="79">
        <f>Tabla4[[#This Row],[MONTO CPP]]</f>
        <v>175000</v>
      </c>
      <c r="AG53" s="79">
        <f>ABONOS!E54</f>
        <v>0</v>
      </c>
      <c r="AH53" s="300" t="str" cm="1">
        <f t="array" ref="AH53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53" s="283" t="s">
        <v>262</v>
      </c>
      <c r="AJ53" s="150" t="s">
        <v>253</v>
      </c>
      <c r="AK53" s="150" t="s">
        <v>253</v>
      </c>
      <c r="AL53" s="283" t="s">
        <v>278</v>
      </c>
      <c r="AM53" s="151">
        <v>45629</v>
      </c>
      <c r="AN53" s="95">
        <v>45719</v>
      </c>
      <c r="AO53" s="73" t="s">
        <v>296</v>
      </c>
      <c r="AP53" s="79">
        <v>175000</v>
      </c>
      <c r="AQ53" s="88" t="s">
        <v>116</v>
      </c>
      <c r="AR53" s="86">
        <v>45582</v>
      </c>
      <c r="AS53" s="79">
        <f>AA53</f>
        <v>250000</v>
      </c>
      <c r="AT53" s="101">
        <v>30474612</v>
      </c>
      <c r="AU53" s="280" t="s">
        <v>252</v>
      </c>
      <c r="AV53" s="102">
        <v>2100</v>
      </c>
      <c r="AW53" s="88">
        <f>ABONOS!O54</f>
        <v>0</v>
      </c>
      <c r="AX53" s="300" t="str" cm="1">
        <f t="array" ref="AX53">_xlfn.IFS(Tabla4[[#This Row],[MONTO5]]=0,"",Tabla4[[#This Row],[SALDO PENDIENTE3]]=0,"PAZ Y SALVO",Tabla4[[#This Row],[SALDO PENDIENTE3]]&gt;0,"PENDIENTE")</f>
        <v>PAZ Y SALVO</v>
      </c>
      <c r="AY53" s="253" t="s">
        <v>334</v>
      </c>
      <c r="AZ53" s="86">
        <v>45643</v>
      </c>
      <c r="BA53" s="280" t="s">
        <v>151</v>
      </c>
      <c r="BB53" s="86">
        <v>45656</v>
      </c>
      <c r="BC53" s="90">
        <f>Tabla4[[#This Row],[FECHA RECIBIDO MINUTA LIBERACION]]-Tabla4[[#This Row],[SOLICITUD DE MINUTA LIBERACIÓN]]</f>
        <v>13</v>
      </c>
      <c r="BD53" s="280" t="s">
        <v>151</v>
      </c>
      <c r="BE53" s="86">
        <v>45625</v>
      </c>
      <c r="BF53" s="280" t="s">
        <v>253</v>
      </c>
      <c r="BG53" s="218" t="s">
        <v>253</v>
      </c>
      <c r="BH53" s="218" t="s">
        <v>253</v>
      </c>
      <c r="BI53" s="218" t="s">
        <v>253</v>
      </c>
      <c r="BJ53" s="280" t="s">
        <v>253</v>
      </c>
      <c r="BK53" s="86">
        <v>45625</v>
      </c>
      <c r="BL53" s="86">
        <v>45630</v>
      </c>
      <c r="BM53" s="86">
        <v>45667</v>
      </c>
      <c r="BN53" s="86">
        <v>45663</v>
      </c>
      <c r="BO53" s="86">
        <v>45665</v>
      </c>
      <c r="BP53" s="90">
        <f>Tabla4[[#This Row],[RECEPCIÓN INTERINO]]-Tabla4[[#This Row],[ENVIO A INTERINO]]</f>
        <v>2</v>
      </c>
      <c r="BQ53" s="86">
        <v>45667</v>
      </c>
      <c r="BR53" s="86">
        <v>45667</v>
      </c>
      <c r="BS53" s="86">
        <v>45667</v>
      </c>
      <c r="BT53" s="86">
        <v>45667</v>
      </c>
      <c r="BU53" s="218" t="s">
        <v>253</v>
      </c>
      <c r="BV53" s="280" t="s">
        <v>151</v>
      </c>
      <c r="BW53" s="86">
        <v>45625</v>
      </c>
      <c r="BX53" s="86">
        <v>45667</v>
      </c>
      <c r="BY53" s="86">
        <v>45667</v>
      </c>
      <c r="BZ53" s="86">
        <v>45678</v>
      </c>
      <c r="CA53" s="86">
        <v>45678</v>
      </c>
      <c r="CB53" s="218">
        <v>45685</v>
      </c>
      <c r="CC53" s="86">
        <v>45638</v>
      </c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</row>
    <row r="54" spans="1:99" ht="35" customHeight="1">
      <c r="A54" s="71" t="s">
        <v>363</v>
      </c>
      <c r="B54" s="84">
        <v>-400</v>
      </c>
      <c r="C54" s="223" t="s">
        <v>494</v>
      </c>
      <c r="D54" s="97" t="s">
        <v>327</v>
      </c>
      <c r="E54" s="223" t="s">
        <v>465</v>
      </c>
      <c r="F54" s="319">
        <v>46127</v>
      </c>
      <c r="G54" s="223" t="s">
        <v>495</v>
      </c>
      <c r="H54" s="223" t="s">
        <v>496</v>
      </c>
      <c r="I54" s="223" t="s">
        <v>322</v>
      </c>
      <c r="J54" s="223" t="s">
        <v>379</v>
      </c>
      <c r="K54" s="74"/>
      <c r="L54" s="223" t="s">
        <v>251</v>
      </c>
      <c r="M54" s="223" t="s">
        <v>497</v>
      </c>
      <c r="N54" s="223" t="s">
        <v>250</v>
      </c>
      <c r="O54" s="223" t="s">
        <v>283</v>
      </c>
      <c r="P54" s="223" t="s">
        <v>283</v>
      </c>
      <c r="Q54" s="223" t="s">
        <v>283</v>
      </c>
      <c r="R54" s="223" t="s">
        <v>253</v>
      </c>
      <c r="S54" s="223" t="s">
        <v>112</v>
      </c>
      <c r="T54" s="73">
        <v>73.09</v>
      </c>
      <c r="U54" s="183">
        <v>22.62</v>
      </c>
      <c r="V54" s="99">
        <f t="shared" si="6"/>
        <v>95.710000000000008</v>
      </c>
      <c r="W54" s="79">
        <f t="shared" si="9"/>
        <v>1809.6000000000001</v>
      </c>
      <c r="X54" s="79">
        <f t="shared" si="8"/>
        <v>171761.5</v>
      </c>
      <c r="Y54" s="79"/>
      <c r="Z54" s="79"/>
      <c r="AA54" s="88">
        <v>220000</v>
      </c>
      <c r="AB54" s="88">
        <v>2350</v>
      </c>
      <c r="AC54" s="104">
        <f t="shared" si="7"/>
        <v>0.5</v>
      </c>
      <c r="AD54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110000</v>
      </c>
      <c r="AE54" s="85">
        <f>Tabla4[[#This Row],[VALOR TOTAL]]-AF54</f>
        <v>220000</v>
      </c>
      <c r="AF54" s="79">
        <v>0</v>
      </c>
      <c r="AG54" s="79">
        <f>ABONOS!E55</f>
        <v>110000</v>
      </c>
      <c r="AH54" s="346" t="str" cm="1">
        <f t="array" ref="AH54">_xlfn.IFS(Tabla4[[#This Row],[RESERVADAS, VENDIDAS]]="DISPONIBLE","",Tabla4[[#This Row],[SALDO PENDIENTE]]=0,"PAZ Y SALVO",Tabla4[[#This Row],[SALDO PENDIENTE]]=Tabla4[[#This Row],[MONTO CPP]],"COBRO CPP",Tabla4[[#This Row],[SALDO PENDIENTE]]&gt;0,"PENDIENTE")</f>
        <v>COBRO CPP</v>
      </c>
      <c r="AI54" s="401" t="s">
        <v>464</v>
      </c>
      <c r="AJ54" s="79"/>
      <c r="AK54" s="79"/>
      <c r="AL54" s="222" t="s">
        <v>278</v>
      </c>
      <c r="AM54" s="83">
        <v>46142</v>
      </c>
      <c r="AN54" s="83">
        <f>Tabla4[[#This Row],[FECHA DE EMISION DE CPP]]+90</f>
        <v>46232</v>
      </c>
      <c r="AO54" s="73" t="s">
        <v>296</v>
      </c>
      <c r="AP54" s="79">
        <v>110000</v>
      </c>
      <c r="AQ54" s="88" t="s">
        <v>116</v>
      </c>
      <c r="AR54" s="86">
        <v>46135</v>
      </c>
      <c r="AS54" s="79">
        <v>220000</v>
      </c>
      <c r="AT54" s="101">
        <v>30474611</v>
      </c>
      <c r="AU54" s="280" t="s">
        <v>0</v>
      </c>
      <c r="AV54" s="102"/>
      <c r="AW54" s="88">
        <f>ABONOS!O55</f>
        <v>0</v>
      </c>
      <c r="AX54" s="346" t="str" cm="1">
        <f t="array" ref="AX54">_xlfn.IFS(Tabla4[[#This Row],[MONTO5]]=0,"",Tabla4[[#This Row],[SALDO PENDIENTE3]]=0,"PAZ Y SALVO",Tabla4[[#This Row],[SALDO PENDIENTE3]]&gt;0,"PENDIENTE")</f>
        <v/>
      </c>
      <c r="AY54" s="158" t="s">
        <v>334</v>
      </c>
      <c r="AZ54" s="86">
        <v>46136</v>
      </c>
      <c r="BA54" s="280" t="s">
        <v>283</v>
      </c>
      <c r="BB54" s="86">
        <v>46156</v>
      </c>
      <c r="BC54" s="90">
        <f>Tabla4[[#This Row],[FECHA RECIBIDO MINUTA LIBERACION]]-Tabla4[[#This Row],[SOLICITUD DE MINUTA LIBERACIÓN]]</f>
        <v>20</v>
      </c>
      <c r="BD54" s="280" t="s">
        <v>151</v>
      </c>
      <c r="BE54" s="86">
        <v>46156</v>
      </c>
      <c r="BF54" s="280" t="s">
        <v>253</v>
      </c>
      <c r="BG54" s="280" t="s">
        <v>253</v>
      </c>
      <c r="BH54" s="280" t="s">
        <v>253</v>
      </c>
      <c r="BI54" s="280" t="s">
        <v>253</v>
      </c>
      <c r="BJ54" s="280" t="s">
        <v>253</v>
      </c>
      <c r="BK54" s="86">
        <v>46162</v>
      </c>
      <c r="BL54" s="86">
        <v>46162</v>
      </c>
      <c r="BM54" s="86">
        <v>46162</v>
      </c>
      <c r="BN54" s="218">
        <v>46163</v>
      </c>
      <c r="BO54" s="218">
        <v>46163</v>
      </c>
      <c r="BP54" s="90">
        <f>Tabla4[[#This Row],[RECEPCIÓN INTERINO]]-Tabla4[[#This Row],[ENVIO A INTERINO]]</f>
        <v>0</v>
      </c>
      <c r="BQ54" s="86">
        <v>46162</v>
      </c>
      <c r="BR54" s="86">
        <v>46155</v>
      </c>
      <c r="BS54" s="86">
        <v>46155</v>
      </c>
      <c r="BT54" s="86">
        <v>46155</v>
      </c>
      <c r="BU54" s="218" t="s">
        <v>253</v>
      </c>
      <c r="BV54" s="280" t="s">
        <v>151</v>
      </c>
      <c r="BW54" s="86">
        <v>46162</v>
      </c>
      <c r="BX54" s="86">
        <v>46162</v>
      </c>
      <c r="BY54" s="86">
        <v>46169</v>
      </c>
      <c r="BZ54" s="86">
        <v>46175</v>
      </c>
      <c r="CA54" s="86">
        <v>46175</v>
      </c>
      <c r="CB54" s="86">
        <v>46190</v>
      </c>
      <c r="CC54" s="86">
        <v>46168</v>
      </c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</row>
    <row r="55" spans="1:99" ht="35" customHeight="1">
      <c r="A55" s="71" t="s">
        <v>87</v>
      </c>
      <c r="B55" s="84">
        <v>-400</v>
      </c>
      <c r="C55" s="223" t="s">
        <v>494</v>
      </c>
      <c r="D55" s="97" t="s">
        <v>327</v>
      </c>
      <c r="E55" s="223" t="s">
        <v>465</v>
      </c>
      <c r="F55" s="319">
        <v>46230</v>
      </c>
      <c r="G55" s="223" t="s">
        <v>495</v>
      </c>
      <c r="H55" s="223" t="s">
        <v>496</v>
      </c>
      <c r="I55" s="223" t="s">
        <v>322</v>
      </c>
      <c r="J55" s="223" t="s">
        <v>379</v>
      </c>
      <c r="K55" s="74"/>
      <c r="L55" s="223" t="s">
        <v>251</v>
      </c>
      <c r="M55" s="223" t="s">
        <v>497</v>
      </c>
      <c r="N55" s="223" t="s">
        <v>250</v>
      </c>
      <c r="O55" s="223" t="s">
        <v>283</v>
      </c>
      <c r="P55" s="223" t="s">
        <v>283</v>
      </c>
      <c r="Q55" s="223" t="s">
        <v>283</v>
      </c>
      <c r="R55" s="223" t="s">
        <v>253</v>
      </c>
      <c r="S55" s="73" t="s">
        <v>112</v>
      </c>
      <c r="T55" s="73">
        <v>73.09</v>
      </c>
      <c r="U55" s="183">
        <v>22.62</v>
      </c>
      <c r="V55" s="100">
        <f t="shared" si="6"/>
        <v>95.710000000000008</v>
      </c>
      <c r="W55" s="79">
        <f t="shared" si="9"/>
        <v>1809.6000000000001</v>
      </c>
      <c r="X55" s="79">
        <f t="shared" si="8"/>
        <v>171761.5</v>
      </c>
      <c r="Y55" s="79"/>
      <c r="Z55" s="79"/>
      <c r="AA55" s="88">
        <v>217000</v>
      </c>
      <c r="AB55" s="88">
        <v>2350</v>
      </c>
      <c r="AC55" s="104">
        <f t="shared" si="7"/>
        <v>0.5</v>
      </c>
      <c r="AD55" s="62">
        <v>108500</v>
      </c>
      <c r="AE55" s="85">
        <f>Tabla4[[#This Row],[VALOR TOTAL]]-AF55</f>
        <v>217000</v>
      </c>
      <c r="AF55" s="79">
        <v>0</v>
      </c>
      <c r="AG55" s="79">
        <v>108500</v>
      </c>
      <c r="AH55" s="346" t="str" cm="1">
        <f t="array" ref="AH55">_xlfn.IFS(Tabla4[[#This Row],[RESERVADAS, VENDIDAS]]="DISPONIBLE","",Tabla4[[#This Row],[SALDO PENDIENTE]]=0,"PAZ Y SALVO",Tabla4[[#This Row],[SALDO PENDIENTE]]=Tabla4[[#This Row],[MONTO CPP]],"COBRO CPP",Tabla4[[#This Row],[SALDO PENDIENTE]]&gt;0,"PENDIENTE")</f>
        <v>PENDIENTE</v>
      </c>
      <c r="AI55" s="347" t="s">
        <v>253</v>
      </c>
      <c r="AJ55" s="222" t="s">
        <v>253</v>
      </c>
      <c r="AK55" s="222" t="s">
        <v>253</v>
      </c>
      <c r="AL55" s="222" t="s">
        <v>253</v>
      </c>
      <c r="AM55" s="349" t="s">
        <v>253</v>
      </c>
      <c r="AN55" s="349" t="s">
        <v>253</v>
      </c>
      <c r="AO55" s="223" t="s">
        <v>253</v>
      </c>
      <c r="AP55" s="222" t="s">
        <v>253</v>
      </c>
      <c r="AQ55" s="214" t="s">
        <v>116</v>
      </c>
      <c r="AR55" s="86">
        <v>46232</v>
      </c>
      <c r="AS55" s="79">
        <v>217000</v>
      </c>
      <c r="AT55" s="101">
        <v>30474610</v>
      </c>
      <c r="AU55" s="280" t="s">
        <v>0</v>
      </c>
      <c r="AV55" s="102"/>
      <c r="AW55" s="88">
        <f>ABONOS!O56</f>
        <v>0</v>
      </c>
      <c r="AX55" s="346" t="str" cm="1">
        <f t="array" ref="AX55">_xlfn.IFS(Tabla4[[#This Row],[MONTO5]]=0,"",Tabla4[[#This Row],[SALDO PENDIENTE3]]=0,"PAZ Y SALVO",Tabla4[[#This Row],[SALDO PENDIENTE3]]&gt;0,"PENDIENTE")</f>
        <v/>
      </c>
      <c r="AY55" s="253" t="s">
        <v>514</v>
      </c>
      <c r="AZ55" s="86">
        <v>46232</v>
      </c>
      <c r="BA55" s="280" t="s">
        <v>151</v>
      </c>
      <c r="BB55" s="398">
        <v>46239</v>
      </c>
      <c r="BC55" s="90">
        <f>Tabla4[[#This Row],[FECHA RECIBIDO MINUTA LIBERACION]]-Tabla4[[#This Row],[SOLICITUD DE MINUTA LIBERACIÓN]]</f>
        <v>7</v>
      </c>
      <c r="BD55" s="280" t="s">
        <v>151</v>
      </c>
      <c r="BE55" s="86">
        <v>46237</v>
      </c>
      <c r="BF55" s="280" t="s">
        <v>253</v>
      </c>
      <c r="BG55" s="86">
        <v>46240</v>
      </c>
      <c r="BH55" s="280" t="s">
        <v>253</v>
      </c>
      <c r="BI55" s="280" t="s">
        <v>253</v>
      </c>
      <c r="BJ55" s="280" t="s">
        <v>253</v>
      </c>
      <c r="BK55" s="86">
        <v>46240</v>
      </c>
      <c r="BL55" s="100"/>
      <c r="BM55" s="158"/>
      <c r="BN55" s="158"/>
      <c r="BO55" s="158"/>
      <c r="BP55" s="90">
        <f>Tabla4[[#This Row],[RECEPCIÓN INTERINO]]-Tabla4[[#This Row],[ENVIO A INTERINO]]</f>
        <v>0</v>
      </c>
      <c r="BQ55" s="100"/>
      <c r="BR55" s="100"/>
      <c r="BS55" s="100"/>
      <c r="BT55" s="100"/>
      <c r="BU55" s="100"/>
      <c r="BV55" s="158"/>
      <c r="BW55" s="158"/>
      <c r="BX55" s="100"/>
      <c r="BY55" s="158"/>
      <c r="BZ55" s="218">
        <v>46261</v>
      </c>
      <c r="CA55" s="100"/>
      <c r="CB55" s="100"/>
      <c r="CC55" s="158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</row>
    <row r="56" spans="1:99" ht="35" customHeight="1">
      <c r="A56" s="71" t="s">
        <v>88</v>
      </c>
      <c r="B56" s="84">
        <v>-400</v>
      </c>
      <c r="C56" s="223" t="s">
        <v>457</v>
      </c>
      <c r="D56" s="484" t="s">
        <v>327</v>
      </c>
      <c r="E56" s="223" t="s">
        <v>465</v>
      </c>
      <c r="F56" s="319">
        <v>45747</v>
      </c>
      <c r="G56" s="73">
        <v>544315117</v>
      </c>
      <c r="H56" s="223" t="s">
        <v>139</v>
      </c>
      <c r="I56" s="223" t="s">
        <v>320</v>
      </c>
      <c r="J56" s="223" t="s">
        <v>379</v>
      </c>
      <c r="K56" s="74">
        <v>24591</v>
      </c>
      <c r="L56" s="223" t="s">
        <v>312</v>
      </c>
      <c r="M56" s="223" t="s">
        <v>458</v>
      </c>
      <c r="N56" s="73" t="s">
        <v>250</v>
      </c>
      <c r="O56" s="223" t="s">
        <v>283</v>
      </c>
      <c r="P56" s="223" t="s">
        <v>283</v>
      </c>
      <c r="Q56" s="223" t="s">
        <v>253</v>
      </c>
      <c r="R56" s="223" t="s">
        <v>253</v>
      </c>
      <c r="S56" s="73" t="s">
        <v>112</v>
      </c>
      <c r="T56" s="73">
        <v>73.09</v>
      </c>
      <c r="U56" s="183">
        <v>19.97</v>
      </c>
      <c r="V56" s="100">
        <f t="shared" si="6"/>
        <v>93.06</v>
      </c>
      <c r="W56" s="79">
        <f t="shared" si="9"/>
        <v>1597.6</v>
      </c>
      <c r="X56" s="79">
        <f t="shared" si="8"/>
        <v>171761.5</v>
      </c>
      <c r="Y56" s="79"/>
      <c r="Z56" s="79"/>
      <c r="AA56" s="88">
        <v>221338.98</v>
      </c>
      <c r="AB56" s="88">
        <v>2350</v>
      </c>
      <c r="AC56" s="104">
        <f t="shared" si="7"/>
        <v>0.99999999999999989</v>
      </c>
      <c r="AD56" s="62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221338.97999999998</v>
      </c>
      <c r="AE56" s="85">
        <f>Tabla4[[#This Row],[VALOR TOTAL]]-Tabla4[[#This Row],[MONTO A MULTIBANK]]</f>
        <v>221338.98</v>
      </c>
      <c r="AF56" s="79">
        <v>0</v>
      </c>
      <c r="AG56" s="79">
        <f>ABONOS!E57</f>
        <v>0</v>
      </c>
      <c r="AH56" s="346" t="str" cm="1">
        <f t="array" ref="AH56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56" s="347" t="s">
        <v>253</v>
      </c>
      <c r="AJ56" s="222" t="s">
        <v>253</v>
      </c>
      <c r="AK56" s="392" t="s">
        <v>253</v>
      </c>
      <c r="AL56" s="345" t="s">
        <v>253</v>
      </c>
      <c r="AM56" s="349" t="s">
        <v>253</v>
      </c>
      <c r="AN56" s="349" t="s">
        <v>253</v>
      </c>
      <c r="AO56" s="402" t="s">
        <v>253</v>
      </c>
      <c r="AP56" s="150" t="s">
        <v>253</v>
      </c>
      <c r="AQ56" s="214" t="s">
        <v>116</v>
      </c>
      <c r="AR56" s="86">
        <v>45784</v>
      </c>
      <c r="AS56" s="79">
        <f>Tabla4[[#This Row],[VALOR TOTAL]]</f>
        <v>221338.98</v>
      </c>
      <c r="AT56" s="101">
        <v>30474609</v>
      </c>
      <c r="AU56" s="280" t="s">
        <v>252</v>
      </c>
      <c r="AV56" s="102">
        <v>1824</v>
      </c>
      <c r="AW56" s="88">
        <f>ABONOS!O57</f>
        <v>57.099999999999909</v>
      </c>
      <c r="AX56" s="346" t="str" cm="1">
        <f t="array" ref="AX56">_xlfn.IFS(Tabla4[[#This Row],[MONTO5]]=0,"",Tabla4[[#This Row],[SALDO PENDIENTE3]]=0,"PAZ Y SALVO",Tabla4[[#This Row],[SALDO PENDIENTE3]]&gt;0,"PENDIENTE")</f>
        <v>PENDIENTE</v>
      </c>
      <c r="AY56" s="253" t="s">
        <v>334</v>
      </c>
      <c r="AZ56" s="218">
        <v>45954</v>
      </c>
      <c r="BA56" s="280" t="s">
        <v>151</v>
      </c>
      <c r="BB56" s="86">
        <v>45961</v>
      </c>
      <c r="BC56" s="90">
        <f>Tabla4[[#This Row],[FECHA RECIBIDO MINUTA LIBERACION]]-Tabla4[[#This Row],[SOLICITUD DE MINUTA LIBERACIÓN]]</f>
        <v>7</v>
      </c>
      <c r="BD56" s="280" t="s">
        <v>151</v>
      </c>
      <c r="BE56" s="86">
        <v>45973</v>
      </c>
      <c r="BF56" s="280" t="s">
        <v>253</v>
      </c>
      <c r="BG56" s="280" t="s">
        <v>253</v>
      </c>
      <c r="BH56" s="280" t="s">
        <v>253</v>
      </c>
      <c r="BI56" s="280" t="s">
        <v>253</v>
      </c>
      <c r="BJ56" s="280" t="s">
        <v>253</v>
      </c>
      <c r="BK56" s="86">
        <v>45973</v>
      </c>
      <c r="BL56" s="86">
        <v>46030</v>
      </c>
      <c r="BM56" s="86">
        <v>45973</v>
      </c>
      <c r="BN56" s="86">
        <v>46033</v>
      </c>
      <c r="BO56" s="86">
        <v>46034</v>
      </c>
      <c r="BP56" s="90">
        <f>Tabla4[[#This Row],[RECEPCIÓN INTERINO]]-Tabla4[[#This Row],[ENVIO A INTERINO]]</f>
        <v>1</v>
      </c>
      <c r="BQ56" s="86">
        <v>46051</v>
      </c>
      <c r="BR56" s="86">
        <v>46045</v>
      </c>
      <c r="BS56" s="86">
        <v>46052</v>
      </c>
      <c r="BT56" s="86">
        <v>46052</v>
      </c>
      <c r="BU56" s="280" t="s">
        <v>253</v>
      </c>
      <c r="BV56" s="280" t="s">
        <v>151</v>
      </c>
      <c r="BW56" s="86">
        <v>46055</v>
      </c>
      <c r="BX56" s="86">
        <v>46055</v>
      </c>
      <c r="BY56" s="86">
        <v>46057</v>
      </c>
      <c r="BZ56" s="86">
        <v>46066</v>
      </c>
      <c r="CA56" s="280" t="s">
        <v>253</v>
      </c>
      <c r="CB56" s="280" t="s">
        <v>253</v>
      </c>
      <c r="CC56" s="86">
        <v>46020</v>
      </c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</row>
    <row r="57" spans="1:99" ht="35" customHeight="1">
      <c r="A57" s="55" t="s">
        <v>89</v>
      </c>
      <c r="B57" s="65">
        <v>-400</v>
      </c>
      <c r="C57" s="205"/>
      <c r="D57" s="205" t="s">
        <v>327</v>
      </c>
      <c r="E57" s="56" t="s">
        <v>330</v>
      </c>
      <c r="F57" s="238">
        <v>46238</v>
      </c>
      <c r="G57" s="56">
        <v>646120672</v>
      </c>
      <c r="H57" s="56"/>
      <c r="I57" s="56"/>
      <c r="J57" s="56"/>
      <c r="K57" s="57"/>
      <c r="L57" s="56"/>
      <c r="M57" s="56"/>
      <c r="N57" s="56"/>
      <c r="O57" s="205" t="s">
        <v>151</v>
      </c>
      <c r="P57" s="56"/>
      <c r="Q57" s="205" t="s">
        <v>151</v>
      </c>
      <c r="R57" s="56"/>
      <c r="S57" s="56" t="s">
        <v>112</v>
      </c>
      <c r="T57" s="56">
        <v>73.09</v>
      </c>
      <c r="U57" s="185">
        <v>19.97</v>
      </c>
      <c r="V57" s="64">
        <f t="shared" si="6"/>
        <v>93.06</v>
      </c>
      <c r="W57" s="60">
        <f t="shared" si="9"/>
        <v>1597.6</v>
      </c>
      <c r="X57" s="60">
        <f t="shared" si="8"/>
        <v>171761.5</v>
      </c>
      <c r="Y57" s="60"/>
      <c r="Z57" s="60"/>
      <c r="AA57" s="61">
        <v>204000</v>
      </c>
      <c r="AB57" s="61">
        <v>2350</v>
      </c>
      <c r="AC57" s="306">
        <f t="shared" si="7"/>
        <v>0</v>
      </c>
      <c r="AD57" s="305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0</v>
      </c>
      <c r="AE57" s="65"/>
      <c r="AF57" s="60"/>
      <c r="AG57" s="60">
        <f>ABONOS!E58</f>
        <v>0</v>
      </c>
      <c r="AH57" s="300" t="str" cm="1">
        <f t="array" ref="AH57">_xlfn.IFS(Tabla4[[#This Row],[RESERVADAS, VENDIDAS]]="DISPONIBLE","",Tabla4[[#This Row],[SALDO PENDIENTE]]=0,"PAZ Y SALVO",Tabla4[[#This Row],[SALDO PENDIENTE]]=Tabla4[[#This Row],[MONTO CPP]],"COBRO CPP",Tabla4[[#This Row],[SALDO PENDIENTE]]&gt;0,"PENDIENTE")</f>
        <v>PAZ Y SALVO</v>
      </c>
      <c r="AI57" s="65"/>
      <c r="AJ57" s="60"/>
      <c r="AK57" s="60"/>
      <c r="AL57" s="60"/>
      <c r="AM57" s="148"/>
      <c r="AN57" s="148"/>
      <c r="AO57" s="56"/>
      <c r="AP57" s="60"/>
      <c r="AQ57" s="61" t="s">
        <v>117</v>
      </c>
      <c r="AR57" s="63"/>
      <c r="AS57" s="60"/>
      <c r="AT57" s="67">
        <v>30474608</v>
      </c>
      <c r="AU57" s="64"/>
      <c r="AV57" s="68"/>
      <c r="AW57" s="61">
        <f>ABONOS!O58</f>
        <v>0</v>
      </c>
      <c r="AX57" s="300" t="str" cm="1">
        <f t="array" ref="AX57">_xlfn.IFS(Tabla4[[#This Row],[MONTO5]]=0,"",Tabla4[[#This Row],[SALDO PENDIENTE3]]=0,"PAZ Y SALVO",Tabla4[[#This Row],[SALDO PENDIENTE3]]&gt;0,"PENDIENTE")</f>
        <v/>
      </c>
      <c r="AY57" s="69"/>
      <c r="AZ57" s="69"/>
      <c r="BA57" s="64"/>
      <c r="BB57" s="64"/>
      <c r="BC57" s="70">
        <f>Tabla4[[#This Row],[FECHA RECIBIDO MINUTA LIBERACION]]-Tabla4[[#This Row],[SOLICITUD DE MINUTA LIBERACIÓN]]</f>
        <v>0</v>
      </c>
      <c r="BD57" s="69"/>
      <c r="BE57" s="69"/>
      <c r="BF57" s="64"/>
      <c r="BG57" s="69"/>
      <c r="BH57" s="69"/>
      <c r="BI57" s="69"/>
      <c r="BJ57" s="69"/>
      <c r="BK57" s="69"/>
      <c r="BL57" s="64"/>
      <c r="BM57" s="69"/>
      <c r="BN57" s="69"/>
      <c r="BO57" s="69"/>
      <c r="BP57" s="70">
        <f>Tabla4[[#This Row],[RECEPCIÓN INTERINO]]-Tabla4[[#This Row],[ENVIO A INTERINO]]</f>
        <v>0</v>
      </c>
      <c r="BQ57" s="64"/>
      <c r="BR57" s="64"/>
      <c r="BS57" s="64"/>
      <c r="BT57" s="64"/>
      <c r="BU57" s="64"/>
      <c r="BV57" s="69"/>
      <c r="BW57" s="69"/>
      <c r="BX57" s="64"/>
      <c r="BY57" s="69"/>
      <c r="BZ57" s="69"/>
      <c r="CA57" s="64"/>
      <c r="CB57" s="64"/>
      <c r="CC57" s="69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</row>
    <row r="58" spans="1:99" ht="35" customHeight="1" thickBot="1">
      <c r="A58" s="490" t="s">
        <v>90</v>
      </c>
      <c r="B58" s="181">
        <v>-400</v>
      </c>
      <c r="C58" s="232"/>
      <c r="D58" s="159" t="s">
        <v>439</v>
      </c>
      <c r="E58" s="159" t="s">
        <v>247</v>
      </c>
      <c r="F58" s="469"/>
      <c r="G58" s="159"/>
      <c r="H58" s="159"/>
      <c r="I58" s="159"/>
      <c r="J58" s="159"/>
      <c r="K58" s="470"/>
      <c r="L58" s="159"/>
      <c r="M58" s="159"/>
      <c r="N58" s="159"/>
      <c r="O58" s="159"/>
      <c r="P58" s="159"/>
      <c r="Q58" s="159"/>
      <c r="R58" s="159"/>
      <c r="S58" s="159" t="s">
        <v>109</v>
      </c>
      <c r="T58" s="159">
        <v>59.94</v>
      </c>
      <c r="U58" s="233">
        <v>19.34</v>
      </c>
      <c r="V58" s="163">
        <f t="shared" si="6"/>
        <v>79.28</v>
      </c>
      <c r="W58" s="160">
        <f t="shared" si="9"/>
        <v>1547.2</v>
      </c>
      <c r="X58" s="160">
        <f t="shared" si="8"/>
        <v>140859</v>
      </c>
      <c r="Y58" s="160"/>
      <c r="Z58" s="160"/>
      <c r="AA58" s="161">
        <v>194230.69</v>
      </c>
      <c r="AB58" s="161">
        <v>2350</v>
      </c>
      <c r="AC58" s="307">
        <f t="shared" si="7"/>
        <v>0</v>
      </c>
      <c r="AD58" s="308">
        <f>SUMIFS(Tabla35[Abonos],Tabla35[Lote],Tabla4[[#This Row],[UNIDAD APTO]],Tabla35[Cliente],Tabla4[[#This Row],[CLIENTE]],Tabla35[Concepto],"ABONO")+SUMIFS(Tabla35[Abonos],Tabla35[Lote],Tabla4[[#This Row],[UNIDAD APTO]],Tabla35[Cliente],Tabla4[[#This Row],[CLIENTE]],Tabla35[Concepto],"MULTIBANK")</f>
        <v>0</v>
      </c>
      <c r="AE58" s="181"/>
      <c r="AF58" s="160"/>
      <c r="AG58" s="160">
        <f>ABONOS!E59</f>
        <v>0</v>
      </c>
      <c r="AH58" s="301" t="str" cm="1">
        <f t="array" ref="AH58">_xlfn.IFS(Tabla4[[#This Row],[RESERVADAS, VENDIDAS]]="DISPONIBLE","",Tabla4[[#This Row],[SALDO PENDIENTE]]=0,"PAZ Y SALVO",Tabla4[[#This Row],[SALDO PENDIENTE]]=Tabla4[[#This Row],[MONTO CPP]],"COBRO CPP",Tabla4[[#This Row],[SALDO PENDIENTE]]&gt;0,"PENDIENTE")</f>
        <v/>
      </c>
      <c r="AI58" s="461"/>
      <c r="AJ58" s="160"/>
      <c r="AK58" s="160"/>
      <c r="AL58" s="160"/>
      <c r="AM58" s="164"/>
      <c r="AN58" s="164"/>
      <c r="AO58" s="159"/>
      <c r="AP58" s="160"/>
      <c r="AQ58" s="161" t="s">
        <v>117</v>
      </c>
      <c r="AR58" s="162"/>
      <c r="AS58" s="160"/>
      <c r="AT58" s="165">
        <v>30474607</v>
      </c>
      <c r="AU58" s="163"/>
      <c r="AV58" s="166"/>
      <c r="AW58" s="161">
        <f>ABONOS!O59</f>
        <v>0</v>
      </c>
      <c r="AX58" s="301" t="str" cm="1">
        <f t="array" ref="AX58">_xlfn.IFS(Tabla4[[#This Row],[MONTO5]]=0,"",Tabla4[[#This Row],[SALDO PENDIENTE3]]=0,"PAZ Y SALVO",Tabla4[[#This Row],[SALDO PENDIENTE3]]&gt;0,"PENDIENTE")</f>
        <v/>
      </c>
      <c r="AY58" s="182"/>
      <c r="AZ58" s="182"/>
      <c r="BA58" s="163"/>
      <c r="BB58" s="163"/>
      <c r="BC58" s="167">
        <f>Tabla4[[#This Row],[FECHA RECIBIDO MINUTA LIBERACION]]-Tabla4[[#This Row],[SOLICITUD DE MINUTA LIBERACIÓN]]</f>
        <v>0</v>
      </c>
      <c r="BD58" s="182"/>
      <c r="BE58" s="182"/>
      <c r="BF58" s="163"/>
      <c r="BG58" s="182"/>
      <c r="BH58" s="182"/>
      <c r="BI58" s="182"/>
      <c r="BJ58" s="182"/>
      <c r="BK58" s="182"/>
      <c r="BL58" s="163"/>
      <c r="BM58" s="182"/>
      <c r="BN58" s="182"/>
      <c r="BO58" s="182"/>
      <c r="BP58" s="167">
        <f>Tabla4[[#This Row],[RECEPCIÓN INTERINO]]-Tabla4[[#This Row],[ENVIO A INTERINO]]</f>
        <v>0</v>
      </c>
      <c r="BQ58" s="163"/>
      <c r="BR58" s="163"/>
      <c r="BS58" s="163"/>
      <c r="BT58" s="163"/>
      <c r="BU58" s="163"/>
      <c r="BV58" s="182"/>
      <c r="BW58" s="182"/>
      <c r="BX58" s="163"/>
      <c r="BY58" s="182"/>
      <c r="BZ58" s="182"/>
      <c r="CA58" s="163"/>
      <c r="CB58" s="163"/>
      <c r="CC58" s="182"/>
      <c r="CD58" s="313"/>
      <c r="CH58" s="297"/>
      <c r="CI58" s="297"/>
      <c r="CJ58" s="195"/>
      <c r="CK58" s="54"/>
      <c r="CM58" s="152"/>
      <c r="CP58" s="54"/>
      <c r="CQ58" s="54"/>
      <c r="CR58" s="54"/>
      <c r="CS58" s="54"/>
      <c r="CT58" s="54"/>
      <c r="CU58" s="54"/>
    </row>
    <row r="59" spans="1:99" ht="35" customHeight="1">
      <c r="A59" s="186"/>
      <c r="B59" s="187" t="s">
        <v>91</v>
      </c>
      <c r="C59" s="188"/>
      <c r="D59" s="190"/>
      <c r="E59" s="176"/>
      <c r="F59" s="176"/>
      <c r="G59" s="189"/>
      <c r="H59" s="176"/>
      <c r="I59" s="187"/>
      <c r="J59" s="187"/>
      <c r="K59" s="471"/>
      <c r="L59" s="187"/>
      <c r="M59" s="187"/>
      <c r="N59" s="187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323"/>
      <c r="AD59" s="323"/>
      <c r="AE59" s="287">
        <f>SUM(AF2:AF58)</f>
        <v>4599999.9950000001</v>
      </c>
      <c r="AF59" s="191"/>
      <c r="AG59" s="191"/>
      <c r="AH59" s="192"/>
      <c r="AI59" s="462"/>
      <c r="AJ59" s="194"/>
      <c r="AK59" s="190"/>
      <c r="AL59" s="189"/>
      <c r="AM59" s="189"/>
      <c r="AN59" s="189"/>
      <c r="AO59" s="189"/>
      <c r="AP59" s="189"/>
      <c r="AQ59" s="189"/>
      <c r="AR59" s="189"/>
      <c r="AS59" s="179"/>
      <c r="AT59" s="191"/>
      <c r="AU59" s="179"/>
      <c r="AV59" s="234"/>
      <c r="AW59" s="234"/>
      <c r="AX59" s="234"/>
      <c r="AY59" s="234"/>
      <c r="AZ59" s="234"/>
      <c r="BA59" s="234"/>
      <c r="BB59" s="234"/>
      <c r="BC59" s="234"/>
      <c r="BD59" s="193"/>
      <c r="BE59" s="235"/>
      <c r="BF59" s="169"/>
      <c r="BG59" s="174"/>
      <c r="BH59" s="179"/>
      <c r="BI59" s="179"/>
      <c r="BJ59" s="179"/>
      <c r="BK59" s="174"/>
      <c r="BL59" s="235"/>
      <c r="BM59" s="190"/>
      <c r="BN59" s="194"/>
      <c r="BO59" s="194"/>
      <c r="BP59" s="194"/>
      <c r="BQ59" s="194"/>
      <c r="BR59" s="194"/>
      <c r="BS59" s="194"/>
      <c r="BT59" s="174"/>
      <c r="BU59" s="174"/>
      <c r="BV59" s="174"/>
      <c r="BW59" s="174"/>
      <c r="BX59" s="174"/>
      <c r="BY59" s="174"/>
      <c r="BZ59" s="174"/>
      <c r="CA59" s="174"/>
      <c r="CB59" s="174"/>
      <c r="CC59" s="174"/>
      <c r="CS59" s="152"/>
    </row>
    <row r="60" spans="1:99">
      <c r="BH60" s="228"/>
      <c r="BI60" s="228"/>
      <c r="BJ60" s="228"/>
      <c r="CQ60" s="231"/>
      <c r="CR60" s="231"/>
    </row>
    <row r="61" spans="1:99">
      <c r="AG61" s="465"/>
      <c r="BH61" s="229"/>
      <c r="BI61" s="228"/>
      <c r="BJ61" s="229"/>
      <c r="CQ61" s="231"/>
      <c r="CR61" s="231"/>
    </row>
    <row r="62" spans="1:99">
      <c r="BH62" s="229"/>
      <c r="BI62" s="228"/>
      <c r="BJ62" s="229"/>
      <c r="CQ62" s="231"/>
      <c r="CR62" s="231"/>
    </row>
    <row r="63" spans="1:99">
      <c r="BH63" s="229"/>
      <c r="BI63" s="228"/>
      <c r="BJ63" s="229"/>
      <c r="CQ63" s="231"/>
      <c r="CR63" s="231"/>
    </row>
    <row r="64" spans="1:99">
      <c r="AB64" s="201"/>
      <c r="BH64" s="229"/>
      <c r="BI64" s="228"/>
      <c r="BJ64" s="229"/>
      <c r="CQ64" s="231"/>
      <c r="CR64" s="231"/>
    </row>
    <row r="65" spans="1:99">
      <c r="BH65" s="229"/>
      <c r="BI65" s="228"/>
      <c r="BJ65" s="229"/>
      <c r="CQ65" s="229"/>
      <c r="CR65" s="229"/>
    </row>
    <row r="66" spans="1:99">
      <c r="AB66" s="203"/>
      <c r="CQ66" s="229"/>
      <c r="CR66" s="229"/>
    </row>
    <row r="68" spans="1:99">
      <c r="BE68" s="204"/>
    </row>
    <row r="83" spans="1:97" s="152" customFormat="1">
      <c r="A83" s="351"/>
      <c r="B83" s="463"/>
      <c r="C83" s="53"/>
      <c r="E83" s="53"/>
      <c r="F83" s="53"/>
      <c r="G83" s="352"/>
      <c r="H83" s="53"/>
      <c r="I83" s="333"/>
      <c r="J83" s="351"/>
      <c r="K83" s="473"/>
      <c r="L83" s="353"/>
      <c r="M83" s="333"/>
      <c r="N83" s="333"/>
      <c r="O83" s="333"/>
      <c r="P83" s="333"/>
      <c r="Q83" s="333"/>
      <c r="R83" s="333"/>
      <c r="S83" s="354"/>
      <c r="T83" s="53"/>
      <c r="U83" s="53"/>
      <c r="V83" s="355"/>
      <c r="W83" s="230"/>
      <c r="X83" s="356"/>
      <c r="Y83" s="356"/>
      <c r="Z83" s="356"/>
      <c r="AA83" s="356"/>
      <c r="AB83" s="231"/>
      <c r="AF83" s="356"/>
      <c r="AG83" s="357"/>
      <c r="AH83" s="199"/>
      <c r="AI83" s="358"/>
      <c r="AJ83" s="297"/>
      <c r="AK83" s="297"/>
      <c r="AM83" s="359"/>
      <c r="AN83" s="359"/>
      <c r="AO83" s="360"/>
      <c r="AP83" s="361"/>
      <c r="AQ83" s="359"/>
      <c r="AR83" s="53"/>
      <c r="AS83" s="356"/>
      <c r="AT83" s="231"/>
      <c r="AU83" s="356"/>
      <c r="AZ83" s="362"/>
      <c r="BA83" s="363"/>
      <c r="BB83" s="362"/>
      <c r="BC83" s="364"/>
      <c r="BD83" s="365"/>
      <c r="BE83" s="362"/>
      <c r="BF83" s="365"/>
      <c r="BG83" s="362"/>
      <c r="BH83" s="231"/>
      <c r="BI83" s="366"/>
      <c r="BJ83" s="231"/>
      <c r="BL83" s="199"/>
      <c r="BM83" s="367"/>
      <c r="BN83" s="368"/>
      <c r="BO83" s="199"/>
      <c r="BP83" s="369"/>
      <c r="BS83" s="199"/>
      <c r="BY83" s="199"/>
      <c r="BZ83" s="199"/>
      <c r="CA83" s="199"/>
      <c r="CB83" s="199"/>
      <c r="CC83" s="362"/>
      <c r="CD83" s="370"/>
      <c r="CE83" s="370"/>
      <c r="CF83" s="370"/>
      <c r="CG83" s="370"/>
      <c r="CH83" s="370"/>
      <c r="CI83" s="370"/>
      <c r="CJ83" s="370"/>
      <c r="CK83" s="370"/>
      <c r="CL83" s="370"/>
      <c r="CM83" s="199"/>
      <c r="CN83" s="53"/>
      <c r="CO83" s="370"/>
      <c r="CP83" s="231"/>
      <c r="CQ83" s="231"/>
      <c r="CR83" s="231"/>
      <c r="CS83" s="200"/>
    </row>
    <row r="91" spans="1:97">
      <c r="AD91" s="26"/>
    </row>
    <row r="96" spans="1:97">
      <c r="H96" s="152" t="s">
        <v>364</v>
      </c>
    </row>
    <row r="97" spans="8:8">
      <c r="H97" s="152" t="s">
        <v>330</v>
      </c>
    </row>
    <row r="98" spans="8:8">
      <c r="H98" s="152" t="s">
        <v>365</v>
      </c>
    </row>
    <row r="99" spans="8:8">
      <c r="H99" s="152" t="s">
        <v>366</v>
      </c>
    </row>
  </sheetData>
  <phoneticPr fontId="15" type="noConversion"/>
  <conditionalFormatting sqref="AH2:AH58">
    <cfRule type="expression" dxfId="39" priority="58">
      <formula>$AG2=$AP2</formula>
    </cfRule>
    <cfRule type="expression" dxfId="38" priority="57">
      <formula>$AG2=0</formula>
    </cfRule>
    <cfRule type="expression" dxfId="37" priority="56">
      <formula>$D2="DISPONIBLE"</formula>
    </cfRule>
    <cfRule type="expression" dxfId="36" priority="59">
      <formula>$AG2&gt;0</formula>
    </cfRule>
  </conditionalFormatting>
  <conditionalFormatting sqref="AH70">
    <cfRule type="expression" dxfId="35" priority="7">
      <formula>$D70="DISPONIBLE"</formula>
    </cfRule>
    <cfRule type="expression" dxfId="34" priority="8">
      <formula>$AG70=0</formula>
    </cfRule>
    <cfRule type="expression" dxfId="33" priority="9">
      <formula>$AG70=$AP70</formula>
    </cfRule>
    <cfRule type="expression" dxfId="32" priority="10">
      <formula>$AG70&gt;0</formula>
    </cfRule>
  </conditionalFormatting>
  <conditionalFormatting sqref="AN2:AN53">
    <cfRule type="timePeriod" dxfId="31" priority="34" timePeriod="thisMonth">
      <formula>AND(MONTH(AN2)=MONTH(TODAY()),YEAR(AN2)=YEAR(TODAY()))</formula>
    </cfRule>
    <cfRule type="expression" dxfId="30" priority="35">
      <formula>$AN2&lt;=TODAY()</formula>
    </cfRule>
    <cfRule type="timePeriod" dxfId="29" priority="33" timePeriod="nextMonth">
      <formula>AND(MONTH(AN2)=MONTH(EDATE(TODAY(),0+1)),YEAR(AN2)=YEAR(EDATE(TODAY(),0+1)))</formula>
    </cfRule>
  </conditionalFormatting>
  <conditionalFormatting sqref="AN56">
    <cfRule type="timePeriod" dxfId="28" priority="11" timePeriod="nextMonth">
      <formula>AND(MONTH(AN56)=MONTH(EDATE(TODAY(),0+1)),YEAR(AN56)=YEAR(EDATE(TODAY(),0+1)))</formula>
    </cfRule>
    <cfRule type="timePeriod" dxfId="27" priority="12" timePeriod="thisMonth">
      <formula>AND(MONTH(AN56)=MONTH(TODAY()),YEAR(AN56)=YEAR(TODAY()))</formula>
    </cfRule>
    <cfRule type="expression" dxfId="26" priority="13">
      <formula>$AN56&lt;=TODAY()</formula>
    </cfRule>
  </conditionalFormatting>
  <conditionalFormatting sqref="AN70">
    <cfRule type="timePeriod" dxfId="25" priority="4" timePeriod="nextMonth">
      <formula>AND(MONTH(AN70)=MONTH(EDATE(TODAY(),0+1)),YEAR(AN70)=YEAR(EDATE(TODAY(),0+1)))</formula>
    </cfRule>
    <cfRule type="timePeriod" dxfId="24" priority="5" timePeriod="thisMonth">
      <formula>AND(MONTH(AN70)=MONTH(TODAY()),YEAR(AN70)=YEAR(TODAY()))</formula>
    </cfRule>
    <cfRule type="expression" dxfId="23" priority="6">
      <formula>$AN70&lt;=TODAY()</formula>
    </cfRule>
  </conditionalFormatting>
  <conditionalFormatting sqref="AO7">
    <cfRule type="containsText" dxfId="22" priority="29" stopIfTrue="1" operator="containsText" text="VENCIDA">
      <formula>NOT(ISERROR(SEARCH("VENCIDA",AO7)))</formula>
    </cfRule>
    <cfRule type="containsText" dxfId="21" priority="30" stopIfTrue="1" operator="containsText" text="COBRADA">
      <formula>NOT(ISERROR(SEARCH("COBRADA",AO7)))</formula>
    </cfRule>
  </conditionalFormatting>
  <conditionalFormatting sqref="AO10:AO11 AO13:AO14 AO17 AO24:AO26 AO31:AO33 AO35:AO36 AO39:AO42 AO45:AO55 AO57:AO58">
    <cfRule type="containsText" dxfId="20" priority="38" stopIfTrue="1" operator="containsText" text="VENCIDA">
      <formula>NOT(ISERROR(SEARCH("VENCIDA",AO10)))</formula>
    </cfRule>
    <cfRule type="containsText" dxfId="19" priority="39" stopIfTrue="1" operator="containsText" text="COBRADA">
      <formula>NOT(ISERROR(SEARCH("COBRADA",AO10)))</formula>
    </cfRule>
  </conditionalFormatting>
  <conditionalFormatting sqref="AO21">
    <cfRule type="containsText" dxfId="18" priority="31" stopIfTrue="1" operator="containsText" text="VENCIDA">
      <formula>NOT(ISERROR(SEARCH("VENCIDA",AO21)))</formula>
    </cfRule>
    <cfRule type="containsText" dxfId="17" priority="32" stopIfTrue="1" operator="containsText" text="COBRADA">
      <formula>NOT(ISERROR(SEARCH("COBRADA",AO21)))</formula>
    </cfRule>
  </conditionalFormatting>
  <conditionalFormatting sqref="AP49">
    <cfRule type="containsText" dxfId="16" priority="18" stopIfTrue="1" operator="containsText" text="VENCIDA">
      <formula>NOT(ISERROR(SEARCH("VENCIDA",AP49)))</formula>
    </cfRule>
    <cfRule type="containsText" dxfId="15" priority="19" stopIfTrue="1" operator="containsText" text="COBRADA">
      <formula>NOT(ISERROR(SEARCH("COBRADA",AP49)))</formula>
    </cfRule>
  </conditionalFormatting>
  <conditionalFormatting sqref="AR83">
    <cfRule type="containsText" dxfId="14" priority="36" stopIfTrue="1" operator="containsText" text="VENCIDA">
      <formula>NOT(ISERROR(SEARCH("VENCIDA",AR83)))</formula>
    </cfRule>
    <cfRule type="containsText" dxfId="13" priority="37" stopIfTrue="1" operator="containsText" text="COBRADA">
      <formula>NOT(ISERROR(SEARCH("COBRADA",AR83)))</formula>
    </cfRule>
  </conditionalFormatting>
  <conditionalFormatting sqref="AX2:AX58">
    <cfRule type="expression" dxfId="12" priority="21">
      <formula>$AW2=0</formula>
    </cfRule>
    <cfRule type="expression" dxfId="11" priority="23">
      <formula>$AW2&gt;0</formula>
    </cfRule>
    <cfRule type="expression" dxfId="10" priority="20">
      <formula>$AV2=0</formula>
    </cfRule>
  </conditionalFormatting>
  <conditionalFormatting sqref="AX70">
    <cfRule type="expression" dxfId="9" priority="3">
      <formula>$AW70&gt;0</formula>
    </cfRule>
    <cfRule type="expression" dxfId="8" priority="2">
      <formula>$AW70=0</formula>
    </cfRule>
    <cfRule type="expression" dxfId="7" priority="1">
      <formula>$AV70=0</formula>
    </cfRule>
  </conditionalFormatting>
  <hyperlinks>
    <hyperlink ref="AK4" r:id="rId1" xr:uid="{20FF2B66-62E4-F841-8004-90F92190F1ED}"/>
    <hyperlink ref="AK51" r:id="rId2" xr:uid="{2D2E6ECD-00CE-1248-A702-6C48BD8A69D2}"/>
    <hyperlink ref="AK10" r:id="rId3" xr:uid="{AC5B334D-593F-EB47-8D78-B1E3A0104364}"/>
    <hyperlink ref="AK11" r:id="rId4" xr:uid="{3FDD3FA3-7721-2C43-8F4A-468B659F4F14}"/>
    <hyperlink ref="AK31" r:id="rId5" xr:uid="{272FBAEE-79D7-1B44-A5BC-7892D8E71F41}"/>
    <hyperlink ref="AK13" r:id="rId6" xr:uid="{ED99588F-5B23-604F-B9ED-06AEBC720971}"/>
  </hyperlinks>
  <pageMargins left="0.7" right="0.7" top="0.75" bottom="0.75" header="0.3" footer="0.3"/>
  <pageSetup scale="10" orientation="portrait" horizontalDpi="0" verticalDpi="0"/>
  <legacyDrawing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9033-222C-FD45-91DB-13BAF32C4C20}">
  <sheetPr codeName="Hoja3"/>
  <dimension ref="A2:X591"/>
  <sheetViews>
    <sheetView topLeftCell="A466" zoomScale="120" zoomScaleNormal="120" workbookViewId="0">
      <pane xSplit="3" topLeftCell="D1" activePane="topRight" state="frozen"/>
      <selection pane="topRight" activeCell="B481" sqref="B481"/>
    </sheetView>
  </sheetViews>
  <sheetFormatPr baseColWidth="10" defaultRowHeight="15"/>
  <cols>
    <col min="1" max="1" width="10.83203125" style="423"/>
    <col min="2" max="2" width="7.1640625" style="423" customWidth="1"/>
    <col min="3" max="3" width="37.83203125" style="423" customWidth="1"/>
    <col min="4" max="4" width="13.33203125" style="423" customWidth="1"/>
    <col min="5" max="5" width="14.5" style="423" bestFit="1" customWidth="1"/>
    <col min="6" max="7" width="13" style="423" customWidth="1"/>
    <col min="8" max="8" width="15" style="423" customWidth="1"/>
    <col min="9" max="9" width="13" style="423" customWidth="1"/>
    <col min="10" max="12" width="13" style="423" hidden="1" customWidth="1"/>
    <col min="13" max="24" width="13" style="423" customWidth="1"/>
    <col min="25" max="16384" width="10.83203125" style="423"/>
  </cols>
  <sheetData>
    <row r="2" spans="2:24" s="419" customFormat="1" ht="50" customHeight="1">
      <c r="B2" s="412" t="s">
        <v>423</v>
      </c>
      <c r="C2" s="413" t="s">
        <v>0</v>
      </c>
      <c r="D2" s="413" t="s">
        <v>389</v>
      </c>
      <c r="E2" s="414" t="s">
        <v>433</v>
      </c>
      <c r="F2" s="415" t="s">
        <v>398</v>
      </c>
      <c r="G2" s="413" t="s">
        <v>417</v>
      </c>
      <c r="H2" s="413" t="s">
        <v>424</v>
      </c>
      <c r="I2" s="416" t="s">
        <v>425</v>
      </c>
      <c r="J2" s="413" t="s">
        <v>418</v>
      </c>
      <c r="K2" s="413" t="s">
        <v>328</v>
      </c>
      <c r="L2" s="416" t="s">
        <v>426</v>
      </c>
      <c r="M2" s="413" t="s">
        <v>226</v>
      </c>
      <c r="N2" s="413" t="s">
        <v>427</v>
      </c>
      <c r="O2" s="416" t="s">
        <v>428</v>
      </c>
      <c r="P2" s="412" t="s">
        <v>397</v>
      </c>
      <c r="Q2" s="417" t="s">
        <v>430</v>
      </c>
      <c r="R2" s="415" t="s">
        <v>429</v>
      </c>
      <c r="S2" s="413" t="s">
        <v>396</v>
      </c>
      <c r="T2" s="417" t="s">
        <v>431</v>
      </c>
      <c r="U2" s="415" t="s">
        <v>432</v>
      </c>
      <c r="V2" s="418" t="s">
        <v>452</v>
      </c>
      <c r="W2" s="418" t="s">
        <v>453</v>
      </c>
      <c r="X2" s="418" t="s">
        <v>454</v>
      </c>
    </row>
    <row r="3" spans="2:24" ht="14" customHeight="1">
      <c r="B3" s="420" t="s">
        <v>3</v>
      </c>
      <c r="C3" s="421" t="str">
        <f>'BASE DATOS'!C2</f>
        <v>KEVIN FORSYTH</v>
      </c>
      <c r="D3" s="291">
        <f>'BASE DATOS'!AA2</f>
        <v>168121.50000000003</v>
      </c>
      <c r="E3" s="422">
        <f t="shared" ref="E3:E34" si="0">I3+L3</f>
        <v>0</v>
      </c>
      <c r="F3" s="292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3" s="291">
        <f>'BASE DATOS'!AE2</f>
        <v>50461.450000000026</v>
      </c>
      <c r="H3" s="291">
        <f>SUMIFS(Tabla35[Abonos],Tabla35[Lote],B3,Tabla35[Cliente],C3,Tabla35[Concepto],"ABONO")</f>
        <v>50461.45</v>
      </c>
      <c r="I3" s="292">
        <f>G3-H3</f>
        <v>0</v>
      </c>
      <c r="J3" s="291">
        <f>'BASE DATOS'!AF2</f>
        <v>117660.05</v>
      </c>
      <c r="K3" s="291">
        <f>SUMIFS(Tabla35[Abonos],Tabla35[Lote],B3,Tabla35[Cliente],C3,Tabla35[Concepto],"MULTIBANK")</f>
        <v>117660.05</v>
      </c>
      <c r="L3" s="292">
        <f>J3-K3</f>
        <v>0</v>
      </c>
      <c r="M3" s="291">
        <f>'BASE DATOS'!AV2</f>
        <v>1600</v>
      </c>
      <c r="N3" s="291">
        <f>SUMIFS(Tabla35[Abonos],Tabla35[Lote],B3,Tabla35[Cliente],C3,Tabla35[Concepto],"GASTOS LEGALES")</f>
        <v>1600</v>
      </c>
      <c r="O3" s="292">
        <f>M3-N3</f>
        <v>0</v>
      </c>
      <c r="P3" s="290">
        <v>500</v>
      </c>
      <c r="Q3" s="291">
        <f>SUMIFS(Tabla35[Abonos],Tabla35[Lote],B3,Tabla35[Cliente],C3,Tabla35[Concepto],"FONDO ADM")</f>
        <v>500</v>
      </c>
      <c r="R3" s="292">
        <f>P3-Q3</f>
        <v>0</v>
      </c>
      <c r="S3" s="291">
        <v>300</v>
      </c>
      <c r="T3" s="291">
        <f>SUMIFS(Tabla35[Abonos],Tabla35[Lote],B3,Tabla35[Cliente],C3,Tabla35[Concepto],"MEDIDOR")</f>
        <v>300</v>
      </c>
      <c r="U3" s="292">
        <f>S3-T3</f>
        <v>0</v>
      </c>
      <c r="V3" s="290"/>
      <c r="W3" s="290">
        <f>SUMIFS(Tabla35[Abonos],Tabla35[Lote],B3,Tabla35[Cliente],C3,Tabla35[Concepto],"PENALIZACIÓN")</f>
        <v>0</v>
      </c>
      <c r="X3" s="290">
        <f t="shared" ref="X3:X34" si="1">V3-W3</f>
        <v>0</v>
      </c>
    </row>
    <row r="4" spans="2:24" ht="14" customHeight="1">
      <c r="B4" s="424" t="s">
        <v>4</v>
      </c>
      <c r="C4" s="425" t="str">
        <f>'BASE DATOS'!C3</f>
        <v>LANCE Y RADANA MORGAN</v>
      </c>
      <c r="D4" s="290">
        <f>'BASE DATOS'!AA3</f>
        <v>170000</v>
      </c>
      <c r="E4" s="299">
        <f t="shared" si="0"/>
        <v>0</v>
      </c>
      <c r="F4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4" s="290">
        <f>'BASE DATOS'!AE3</f>
        <v>51000.000000000015</v>
      </c>
      <c r="H4" s="290">
        <f>SUMIFS(Tabla35[Abonos],Tabla35[Lote],B4,Tabla35[Cliente],C4,Tabla35[Concepto],"ABONO")</f>
        <v>51000</v>
      </c>
      <c r="I4" s="293">
        <f t="shared" ref="I4:I59" si="2">G4-H4</f>
        <v>0</v>
      </c>
      <c r="J4" s="290">
        <f>'BASE DATOS'!AF3</f>
        <v>118999.99999999999</v>
      </c>
      <c r="K4" s="290">
        <f>SUMIFS(Tabla35[Abonos],Tabla35[Lote],B4,Tabla35[Cliente],C4,Tabla35[Concepto],"MULTIBANK")</f>
        <v>119000</v>
      </c>
      <c r="L4" s="293">
        <f t="shared" ref="L4:L6" si="3">J4-K4</f>
        <v>0</v>
      </c>
      <c r="M4" s="290">
        <f>'BASE DATOS'!AV3</f>
        <v>1900</v>
      </c>
      <c r="N4" s="290">
        <f>SUMIFS(Tabla35[Abonos],Tabla35[Lote],B4,Tabla35[Cliente],C4,Tabla35[Concepto],"GASTOS LEGALES")</f>
        <v>1900</v>
      </c>
      <c r="O4" s="293">
        <f t="shared" ref="O4:O6" si="4">M4-N4</f>
        <v>0</v>
      </c>
      <c r="P4" s="290">
        <v>500</v>
      </c>
      <c r="Q4" s="290">
        <f>SUMIFS(Tabla35[Abonos],Tabla35[Lote],B4,Tabla35[Cliente],C4,Tabla35[Concepto],"FONDO ADM")</f>
        <v>500</v>
      </c>
      <c r="R4" s="293">
        <f t="shared" ref="R4:R6" si="5">P4-Q4</f>
        <v>0</v>
      </c>
      <c r="S4" s="290">
        <v>300</v>
      </c>
      <c r="T4" s="290">
        <f>SUMIFS(Tabla35[Abonos],Tabla35[Lote],B4,Tabla35[Cliente],C4,Tabla35[Concepto],"MEDIDOR")</f>
        <v>300</v>
      </c>
      <c r="U4" s="293">
        <f t="shared" ref="U4:U6" si="6">S4-T4</f>
        <v>0</v>
      </c>
      <c r="V4" s="290"/>
      <c r="W4" s="290">
        <f>SUMIFS(Tabla35[Abonos],Tabla35[Lote],B4,Tabla35[Cliente],C4,Tabla35[Concepto],"PENALIZACIÓN")</f>
        <v>0</v>
      </c>
      <c r="X4" s="290">
        <f t="shared" si="1"/>
        <v>0</v>
      </c>
    </row>
    <row r="5" spans="2:24" ht="14" customHeight="1">
      <c r="B5" s="424" t="s">
        <v>7</v>
      </c>
      <c r="C5" s="425" t="str">
        <f>'BASE DATOS'!C4</f>
        <v xml:space="preserve">AARON Y MARSHA EDWARDS </v>
      </c>
      <c r="D5" s="290">
        <f>'BASE DATOS'!AA4</f>
        <v>205107.09</v>
      </c>
      <c r="E5" s="299">
        <f t="shared" si="0"/>
        <v>0</v>
      </c>
      <c r="F5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5" s="290">
        <f>'BASE DATOS'!AE4</f>
        <v>61532.130000000005</v>
      </c>
      <c r="H5" s="290">
        <f>SUMIFS(Tabla35[Abonos],Tabla35[Lote],B5,Tabla35[Cliente],C5,Tabla35[Concepto],"ABONO")</f>
        <v>61532.13</v>
      </c>
      <c r="I5" s="293">
        <f t="shared" si="2"/>
        <v>0</v>
      </c>
      <c r="J5" s="290">
        <f>'BASE DATOS'!AF4</f>
        <v>143574.96</v>
      </c>
      <c r="K5" s="290">
        <f>SUMIFS(Tabla35[Abonos],Tabla35[Lote],B5,Tabla35[Cliente],C5,Tabla35[Concepto],"MULTIBANK")</f>
        <v>143574.96</v>
      </c>
      <c r="L5" s="293">
        <f t="shared" si="3"/>
        <v>0</v>
      </c>
      <c r="M5" s="290">
        <f>'BASE DATOS'!AV4</f>
        <v>5858.13</v>
      </c>
      <c r="N5" s="290">
        <f>SUMIFS(Tabla35[Abonos],Tabla35[Lote],B5,Tabla35[Cliente],C5,Tabla35[Concepto],"GASTOS LEGALES")</f>
        <v>5858.13</v>
      </c>
      <c r="O5" s="293">
        <f t="shared" si="4"/>
        <v>0</v>
      </c>
      <c r="P5" s="290">
        <v>500</v>
      </c>
      <c r="Q5" s="290">
        <f>SUMIFS(Tabla35[Abonos],Tabla35[Lote],B5,Tabla35[Cliente],C5,Tabla35[Concepto],"FONDO ADM")</f>
        <v>500</v>
      </c>
      <c r="R5" s="293">
        <f t="shared" si="5"/>
        <v>0</v>
      </c>
      <c r="S5" s="290">
        <v>300</v>
      </c>
      <c r="T5" s="290">
        <f>SUMIFS(Tabla35[Abonos],Tabla35[Lote],B5,Tabla35[Cliente],C5,Tabla35[Concepto],"MEDIDOR")</f>
        <v>300</v>
      </c>
      <c r="U5" s="293">
        <f t="shared" si="6"/>
        <v>0</v>
      </c>
      <c r="V5" s="290"/>
      <c r="W5" s="290">
        <f>SUMIFS(Tabla35[Abonos],Tabla35[Lote],B5,Tabla35[Cliente],C5,Tabla35[Concepto],"PENALIZACIÓN")</f>
        <v>0</v>
      </c>
      <c r="X5" s="290">
        <f t="shared" si="1"/>
        <v>0</v>
      </c>
    </row>
    <row r="6" spans="2:24" ht="14" customHeight="1">
      <c r="B6" s="424" t="s">
        <v>8</v>
      </c>
      <c r="C6" s="425" t="str">
        <f>'BASE DATOS'!C5</f>
        <v>GEORGE WALES Y MAUZIE-LISA WALES</v>
      </c>
      <c r="D6" s="290">
        <f>'BASE DATOS'!AA5</f>
        <v>204500</v>
      </c>
      <c r="E6" s="299">
        <f t="shared" si="0"/>
        <v>-0.5</v>
      </c>
      <c r="F6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-0.5</v>
      </c>
      <c r="G6" s="290">
        <f>'BASE DATOS'!AE5</f>
        <v>204500</v>
      </c>
      <c r="H6" s="290">
        <f>SUMIFS(Tabla35[Abonos],Tabla35[Lote],B6,Tabla35[Cliente],C6,Tabla35[Concepto],"ABONO")</f>
        <v>204500.5</v>
      </c>
      <c r="I6" s="293">
        <f t="shared" si="2"/>
        <v>-0.5</v>
      </c>
      <c r="J6" s="290">
        <f>'BASE DATOS'!AF5</f>
        <v>0</v>
      </c>
      <c r="K6" s="290">
        <f>SUMIFS(Tabla35[Abonos],Tabla35[Lote],B6,Tabla35[Cliente],C6,Tabla35[Concepto],"MULTIBANK")</f>
        <v>0</v>
      </c>
      <c r="L6" s="293">
        <f t="shared" si="3"/>
        <v>0</v>
      </c>
      <c r="M6" s="290">
        <f>'BASE DATOS'!AV5</f>
        <v>2070</v>
      </c>
      <c r="N6" s="290">
        <f>SUMIFS(Tabla35[Abonos],Tabla35[Lote],B6,Tabla35[Cliente],C6,Tabla35[Concepto],"GASTOS LEGALES")</f>
        <v>2070</v>
      </c>
      <c r="O6" s="293">
        <f t="shared" si="4"/>
        <v>0</v>
      </c>
      <c r="P6" s="290">
        <v>500</v>
      </c>
      <c r="Q6" s="290">
        <f>SUMIFS(Tabla35[Abonos],Tabla35[Lote],B6,Tabla35[Cliente],C6,Tabla35[Concepto],"FONDO ADM")</f>
        <v>500</v>
      </c>
      <c r="R6" s="293">
        <f t="shared" si="5"/>
        <v>0</v>
      </c>
      <c r="S6" s="290">
        <v>300</v>
      </c>
      <c r="T6" s="290">
        <f>SUMIFS(Tabla35[Abonos],Tabla35[Lote],B6,Tabla35[Cliente],C6,Tabla35[Concepto],"MEDIDOR")</f>
        <v>300</v>
      </c>
      <c r="U6" s="293">
        <f t="shared" si="6"/>
        <v>0</v>
      </c>
      <c r="V6" s="290"/>
      <c r="W6" s="290">
        <f>SUMIFS(Tabla35[Abonos],Tabla35[Lote],B6,Tabla35[Cliente],C6,Tabla35[Concepto],"PENALIZACIÓN")</f>
        <v>0</v>
      </c>
      <c r="X6" s="290">
        <f t="shared" si="1"/>
        <v>0</v>
      </c>
    </row>
    <row r="7" spans="2:24" ht="14" customHeight="1">
      <c r="B7" s="424" t="s">
        <v>11</v>
      </c>
      <c r="C7" s="425" t="str">
        <f>'BASE DATOS'!C6</f>
        <v>ALCIBIADES SOLIS</v>
      </c>
      <c r="D7" s="290">
        <f>'BASE DATOS'!AA6</f>
        <v>186379.5</v>
      </c>
      <c r="E7" s="299">
        <f t="shared" si="0"/>
        <v>0</v>
      </c>
      <c r="F7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7" s="290">
        <f>'BASE DATOS'!AE6</f>
        <v>55913.850000000006</v>
      </c>
      <c r="H7" s="290">
        <f>SUMIFS(Tabla35[Abonos],Tabla35[Lote],B7,Tabla35[Cliente],C7,Tabla35[Concepto],"ABONO")</f>
        <v>55913.850000000006</v>
      </c>
      <c r="I7" s="293">
        <f>G7-H7</f>
        <v>0</v>
      </c>
      <c r="J7" s="290">
        <f>'BASE DATOS'!AF6</f>
        <v>130465.65</v>
      </c>
      <c r="K7" s="290">
        <f>SUMIFS(Tabla35[Abonos],Tabla35[Lote],B7,Tabla35[Cliente],C7,Tabla35[Concepto],"MULTIBANK")</f>
        <v>130465.65</v>
      </c>
      <c r="L7" s="293">
        <f>J7-K7</f>
        <v>0</v>
      </c>
      <c r="M7" s="290">
        <f>'BASE DATOS'!AV6</f>
        <v>1400</v>
      </c>
      <c r="N7" s="290">
        <f>SUMIFS(Tabla35[Abonos],Tabla35[Lote],B7,Tabla35[Cliente],C7,Tabla35[Concepto],"GASTOS LEGALES")</f>
        <v>1400</v>
      </c>
      <c r="O7" s="293">
        <f>M7-N7</f>
        <v>0</v>
      </c>
      <c r="P7" s="290">
        <v>500</v>
      </c>
      <c r="Q7" s="290">
        <f>SUMIFS(Tabla35[Abonos],Tabla35[Lote],B7,Tabla35[Cliente],C7,Tabla35[Concepto],"FONDO ADM")</f>
        <v>500</v>
      </c>
      <c r="R7" s="293">
        <f>P7-Q7</f>
        <v>0</v>
      </c>
      <c r="S7" s="290">
        <v>300</v>
      </c>
      <c r="T7" s="290">
        <f>SUMIFS(Tabla35[Abonos],Tabla35[Lote],B7,Tabla35[Cliente],C7,Tabla35[Concepto],"MEDIDOR")</f>
        <v>300</v>
      </c>
      <c r="U7" s="293">
        <f>S7-T7</f>
        <v>0</v>
      </c>
      <c r="V7" s="290"/>
      <c r="W7" s="290">
        <f>SUMIFS(Tabla35[Abonos],Tabla35[Lote],B7,Tabla35[Cliente],C7,Tabla35[Concepto],"PENALIZACIÓN")</f>
        <v>0</v>
      </c>
      <c r="X7" s="290">
        <f t="shared" si="1"/>
        <v>0</v>
      </c>
    </row>
    <row r="8" spans="2:24" ht="14" customHeight="1">
      <c r="B8" s="424" t="s">
        <v>13</v>
      </c>
      <c r="C8" s="425" t="str">
        <f>'BASE DATOS'!C7</f>
        <v>ERIC WHITAKER</v>
      </c>
      <c r="D8" s="290">
        <f>'BASE DATOS'!AA7</f>
        <v>209100</v>
      </c>
      <c r="E8" s="299">
        <f t="shared" si="0"/>
        <v>0</v>
      </c>
      <c r="F8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300</v>
      </c>
      <c r="G8" s="290">
        <f>'BASE DATOS'!AE7</f>
        <v>209100</v>
      </c>
      <c r="H8" s="290">
        <f>SUMIFS(Tabla35[Abonos],Tabla35[Lote],B8,Tabla35[Cliente],C8,Tabla35[Concepto],"ABONO")</f>
        <v>209100</v>
      </c>
      <c r="I8" s="293">
        <f t="shared" si="2"/>
        <v>0</v>
      </c>
      <c r="J8" s="290">
        <f>'BASE DATOS'!AF7</f>
        <v>0</v>
      </c>
      <c r="K8" s="290">
        <f>SUMIFS(Tabla35[Abonos],Tabla35[Lote],B8,Tabla35[Cliente],C8,Tabla35[Concepto],"MULTIBANK")</f>
        <v>0</v>
      </c>
      <c r="L8" s="293">
        <f t="shared" ref="L8:L59" si="7">J8-K8</f>
        <v>0</v>
      </c>
      <c r="M8" s="290">
        <f>'BASE DATOS'!AV7</f>
        <v>3427.6</v>
      </c>
      <c r="N8" s="290">
        <f>SUMIFS(Tabla35[Abonos],Tabla35[Lote],B8,Tabla35[Cliente],C8,Tabla35[Concepto],"GASTOS LEGALES")</f>
        <v>3427.6</v>
      </c>
      <c r="O8" s="293">
        <f t="shared" ref="O8:O59" si="8">M8-N8</f>
        <v>0</v>
      </c>
      <c r="P8" s="290">
        <v>500</v>
      </c>
      <c r="Q8" s="290">
        <f>SUMIFS(Tabla35[Abonos],Tabla35[Lote],B8,Tabla35[Cliente],C8,Tabla35[Concepto],"FONDO ADM")</f>
        <v>500</v>
      </c>
      <c r="R8" s="293">
        <f t="shared" ref="R8:R59" si="9">P8-Q8</f>
        <v>0</v>
      </c>
      <c r="S8" s="290">
        <v>300</v>
      </c>
      <c r="T8" s="290">
        <f>SUMIFS(Tabla35[Abonos],Tabla35[Lote],B8,Tabla35[Cliente],C8,Tabla35[Concepto],"MEDIDOR")</f>
        <v>0</v>
      </c>
      <c r="U8" s="293">
        <f t="shared" ref="U8:U59" si="10">S8-T8</f>
        <v>300</v>
      </c>
      <c r="V8" s="290"/>
      <c r="W8" s="290">
        <f>SUMIFS(Tabla35[Abonos],Tabla35[Lote],B8,Tabla35[Cliente],C8,Tabla35[Concepto],"PENALIZACIÓN")</f>
        <v>0</v>
      </c>
      <c r="X8" s="290">
        <f t="shared" si="1"/>
        <v>0</v>
      </c>
    </row>
    <row r="9" spans="2:24" ht="14" customHeight="1">
      <c r="B9" s="424" t="s">
        <v>16</v>
      </c>
      <c r="C9" s="425" t="str">
        <f>'BASE DATOS'!C8</f>
        <v>BRUNO LA GROTTA</v>
      </c>
      <c r="D9" s="290">
        <f>'BASE DATOS'!AA8</f>
        <v>270000</v>
      </c>
      <c r="E9" s="299">
        <f t="shared" si="0"/>
        <v>0</v>
      </c>
      <c r="F9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9" s="290">
        <f>'BASE DATOS'!AE8</f>
        <v>116000</v>
      </c>
      <c r="H9" s="290">
        <f>SUMIFS(Tabla35[Abonos],Tabla35[Lote],B9,Tabla35[Cliente],C9,Tabla35[Concepto],"ABONO")</f>
        <v>116000</v>
      </c>
      <c r="I9" s="293">
        <f t="shared" si="2"/>
        <v>0</v>
      </c>
      <c r="J9" s="290">
        <f>'BASE DATOS'!AF8</f>
        <v>154000</v>
      </c>
      <c r="K9" s="290">
        <f>SUMIFS(Tabla35[Abonos],Tabla35[Lote],B9,Tabla35[Cliente],C9,Tabla35[Concepto],"MULTIBANK")</f>
        <v>154000</v>
      </c>
      <c r="L9" s="293">
        <f t="shared" si="7"/>
        <v>0</v>
      </c>
      <c r="M9" s="290">
        <f>'BASE DATOS'!AV8</f>
        <v>1950</v>
      </c>
      <c r="N9" s="290">
        <f>SUMIFS(Tabla35[Abonos],Tabla35[Lote],B9,Tabla35[Cliente],C9,Tabla35[Concepto],"GASTOS LEGALES")</f>
        <v>1950</v>
      </c>
      <c r="O9" s="293">
        <f t="shared" si="8"/>
        <v>0</v>
      </c>
      <c r="P9" s="290">
        <v>500</v>
      </c>
      <c r="Q9" s="290">
        <f>SUMIFS(Tabla35[Abonos],Tabla35[Lote],B9,Tabla35[Cliente],C9,Tabla35[Concepto],"FONDO ADM")</f>
        <v>500</v>
      </c>
      <c r="R9" s="293">
        <f t="shared" si="9"/>
        <v>0</v>
      </c>
      <c r="S9" s="290">
        <v>300</v>
      </c>
      <c r="T9" s="290">
        <f>SUMIFS(Tabla35[Abonos],Tabla35[Lote],B9,Tabla35[Cliente],C9,Tabla35[Concepto],"MEDIDOR")</f>
        <v>300</v>
      </c>
      <c r="U9" s="293">
        <f t="shared" si="10"/>
        <v>0</v>
      </c>
      <c r="V9" s="290"/>
      <c r="W9" s="290">
        <f>SUMIFS(Tabla35[Abonos],Tabla35[Lote],B9,Tabla35[Cliente],C9,Tabla35[Concepto],"PENALIZACIÓN")</f>
        <v>0</v>
      </c>
      <c r="X9" s="290">
        <f t="shared" si="1"/>
        <v>0</v>
      </c>
    </row>
    <row r="10" spans="2:24" ht="14" customHeight="1">
      <c r="B10" s="424" t="s">
        <v>18</v>
      </c>
      <c r="C10" s="425" t="str">
        <f>'BASE DATOS'!C9</f>
        <v xml:space="preserve">PAUL Y RENATE MIANO </v>
      </c>
      <c r="D10" s="290">
        <f>'BASE DATOS'!AA9</f>
        <v>278683.5</v>
      </c>
      <c r="E10" s="299">
        <f t="shared" si="0"/>
        <v>0</v>
      </c>
      <c r="F10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10" s="290">
        <f>'BASE DATOS'!AE9</f>
        <v>83592</v>
      </c>
      <c r="H10" s="290">
        <f>SUMIFS(Tabla35[Abonos],Tabla35[Lote],B10,Tabla35[Cliente],C10,Tabla35[Concepto],"ABONO")</f>
        <v>83592</v>
      </c>
      <c r="I10" s="293">
        <f t="shared" si="2"/>
        <v>0</v>
      </c>
      <c r="J10" s="290">
        <f>'BASE DATOS'!AF9</f>
        <v>195091.5</v>
      </c>
      <c r="K10" s="290">
        <f>SUMIFS(Tabla35[Abonos],Tabla35[Lote],B10,Tabla35[Cliente],C10,Tabla35[Concepto],"MULTIBANK")</f>
        <v>195091.5</v>
      </c>
      <c r="L10" s="293">
        <f t="shared" si="7"/>
        <v>0</v>
      </c>
      <c r="M10" s="290">
        <f>'BASE DATOS'!AV9</f>
        <v>1950</v>
      </c>
      <c r="N10" s="290">
        <f>SUMIFS(Tabla35[Abonos],Tabla35[Lote],B10,Tabla35[Cliente],C10,Tabla35[Concepto],"GASTOS LEGALES")</f>
        <v>1950</v>
      </c>
      <c r="O10" s="293">
        <f t="shared" si="8"/>
        <v>0</v>
      </c>
      <c r="P10" s="290">
        <v>500</v>
      </c>
      <c r="Q10" s="290">
        <f>SUMIFS(Tabla35[Abonos],Tabla35[Lote],B10,Tabla35[Cliente],C10,Tabla35[Concepto],"FONDO ADM")</f>
        <v>500</v>
      </c>
      <c r="R10" s="293">
        <f t="shared" si="9"/>
        <v>0</v>
      </c>
      <c r="S10" s="290">
        <v>300</v>
      </c>
      <c r="T10" s="290">
        <f>SUMIFS(Tabla35[Abonos],Tabla35[Lote],B10,Tabla35[Cliente],C10,Tabla35[Concepto],"MEDIDOR")</f>
        <v>300</v>
      </c>
      <c r="U10" s="293">
        <f t="shared" si="10"/>
        <v>0</v>
      </c>
      <c r="V10" s="290"/>
      <c r="W10" s="290">
        <f>SUMIFS(Tabla35[Abonos],Tabla35[Lote],B10,Tabla35[Cliente],C10,Tabla35[Concepto],"PENALIZACIÓN")</f>
        <v>0</v>
      </c>
      <c r="X10" s="290">
        <f t="shared" si="1"/>
        <v>0</v>
      </c>
    </row>
    <row r="11" spans="2:24" ht="14" customHeight="1">
      <c r="B11" s="424" t="s">
        <v>21</v>
      </c>
      <c r="C11" s="425" t="str">
        <f>'BASE DATOS'!C10</f>
        <v>DAYANARA RÍOS</v>
      </c>
      <c r="D11" s="290">
        <f>'BASE DATOS'!AA10</f>
        <v>186379.5</v>
      </c>
      <c r="E11" s="299">
        <f t="shared" si="0"/>
        <v>0</v>
      </c>
      <c r="F11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11" s="290">
        <f>'BASE DATOS'!AE10</f>
        <v>37275.899999999994</v>
      </c>
      <c r="H11" s="290">
        <f>SUMIFS(Tabla35[Abonos],Tabla35[Lote],B11,Tabla35[Cliente],C11,Tabla35[Concepto],"ABONO")</f>
        <v>37275.9</v>
      </c>
      <c r="I11" s="293">
        <f t="shared" si="2"/>
        <v>0</v>
      </c>
      <c r="J11" s="290">
        <f>'BASE DATOS'!AF10</f>
        <v>149103.6</v>
      </c>
      <c r="K11" s="290">
        <f>SUMIFS(Tabla35[Abonos],Tabla35[Lote],B11,Tabla35[Cliente],C11,Tabla35[Concepto],"MULTIBANK")</f>
        <v>149103.6</v>
      </c>
      <c r="L11" s="293">
        <f t="shared" si="7"/>
        <v>0</v>
      </c>
      <c r="M11" s="290">
        <v>0</v>
      </c>
      <c r="N11" s="290">
        <f>SUMIFS(Tabla35[Abonos],Tabla35[Lote],B11,Tabla35[Cliente],C11,Tabla35[Concepto],"GASTOS LEGALES")</f>
        <v>0</v>
      </c>
      <c r="O11" s="293">
        <f t="shared" si="8"/>
        <v>0</v>
      </c>
      <c r="P11" s="290">
        <v>500</v>
      </c>
      <c r="Q11" s="290">
        <f>SUMIFS(Tabla35[Abonos],Tabla35[Lote],B11,Tabla35[Cliente],C11,Tabla35[Concepto],"FONDO ADM")</f>
        <v>500</v>
      </c>
      <c r="R11" s="293">
        <f t="shared" si="9"/>
        <v>0</v>
      </c>
      <c r="S11" s="290">
        <v>300</v>
      </c>
      <c r="T11" s="290">
        <f>SUMIFS(Tabla35[Abonos],Tabla35[Lote],B11,Tabla35[Cliente],C11,Tabla35[Concepto],"MEDIDOR")</f>
        <v>300</v>
      </c>
      <c r="U11" s="293">
        <f t="shared" si="10"/>
        <v>0</v>
      </c>
      <c r="V11" s="290"/>
      <c r="W11" s="290">
        <f>SUMIFS(Tabla35[Abonos],Tabla35[Lote],B11,Tabla35[Cliente],C11,Tabla35[Concepto],"PENALIZACIÓN")</f>
        <v>0</v>
      </c>
      <c r="X11" s="290">
        <f t="shared" si="1"/>
        <v>0</v>
      </c>
    </row>
    <row r="12" spans="2:24" ht="14" customHeight="1">
      <c r="B12" s="424" t="s">
        <v>23</v>
      </c>
      <c r="C12" s="425" t="str">
        <f>'BASE DATOS'!C11</f>
        <v>NICHOLAS CHILLEMI</v>
      </c>
      <c r="D12" s="290">
        <f>'BASE DATOS'!AA11</f>
        <v>150000</v>
      </c>
      <c r="E12" s="299">
        <f t="shared" si="0"/>
        <v>0</v>
      </c>
      <c r="F12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12" s="290">
        <f>'BASE DATOS'!AE11</f>
        <v>45000</v>
      </c>
      <c r="H12" s="290">
        <f>SUMIFS(Tabla35[Abonos],Tabla35[Lote],B12,Tabla35[Cliente],C12,Tabla35[Concepto],"ABONO")</f>
        <v>45000</v>
      </c>
      <c r="I12" s="293">
        <f t="shared" si="2"/>
        <v>0</v>
      </c>
      <c r="J12" s="290">
        <f>'BASE DATOS'!AF11</f>
        <v>105000</v>
      </c>
      <c r="K12" s="290">
        <f>SUMIFS(Tabla35[Abonos],Tabla35[Lote],B12,Tabla35[Cliente],C12,Tabla35[Concepto],"MULTIBANK")</f>
        <v>105000</v>
      </c>
      <c r="L12" s="293">
        <f t="shared" si="7"/>
        <v>0</v>
      </c>
      <c r="M12" s="290">
        <f>'BASE DATOS'!AV11</f>
        <v>1525</v>
      </c>
      <c r="N12" s="290">
        <f>SUMIFS(Tabla35[Abonos],Tabla35[Lote],B12,Tabla35[Cliente],C12,Tabla35[Concepto],"GASTOS LEGALES")</f>
        <v>1525</v>
      </c>
      <c r="O12" s="293">
        <f t="shared" si="8"/>
        <v>0</v>
      </c>
      <c r="P12" s="290">
        <v>500</v>
      </c>
      <c r="Q12" s="290">
        <f>SUMIFS(Tabla35[Abonos],Tabla35[Lote],B12,Tabla35[Cliente],C12,Tabla35[Concepto],"FONDO ADM")</f>
        <v>500</v>
      </c>
      <c r="R12" s="293">
        <f t="shared" si="9"/>
        <v>0</v>
      </c>
      <c r="S12" s="290">
        <v>300</v>
      </c>
      <c r="T12" s="290">
        <f>SUMIFS(Tabla35[Abonos],Tabla35[Lote],B12,Tabla35[Cliente],C12,Tabla35[Concepto],"MEDIDOR")</f>
        <v>300</v>
      </c>
      <c r="U12" s="293">
        <f t="shared" si="10"/>
        <v>0</v>
      </c>
      <c r="V12" s="290"/>
      <c r="W12" s="290">
        <f>SUMIFS(Tabla35[Abonos],Tabla35[Lote],B12,Tabla35[Cliente],C12,Tabla35[Concepto],"PENALIZACIÓN")</f>
        <v>0</v>
      </c>
      <c r="X12" s="290">
        <f t="shared" si="1"/>
        <v>0</v>
      </c>
    </row>
    <row r="13" spans="2:24" ht="14" customHeight="1">
      <c r="B13" s="426" t="s">
        <v>24</v>
      </c>
      <c r="C13" s="427" t="str">
        <f>'BASE DATOS'!C12</f>
        <v xml:space="preserve">JEANETTE MUNROE </v>
      </c>
      <c r="D13" s="294">
        <f>'BASE DATOS'!AA12</f>
        <v>168121.50000000003</v>
      </c>
      <c r="E13" s="298">
        <f t="shared" si="0"/>
        <v>0</v>
      </c>
      <c r="F13" s="295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13" s="294">
        <f>'BASE DATOS'!AE12</f>
        <v>58842.525000000009</v>
      </c>
      <c r="H13" s="294">
        <f>SUMIFS(Tabla35[Abonos],Tabla35[Lote],B13,Tabla35[Cliente],C13,Tabla35[Concepto],"ABONO")</f>
        <v>58842.524999999994</v>
      </c>
      <c r="I13" s="296">
        <f t="shared" si="2"/>
        <v>0</v>
      </c>
      <c r="J13" s="294">
        <f>'BASE DATOS'!AF12</f>
        <v>109278.97500000002</v>
      </c>
      <c r="K13" s="294">
        <f>SUMIFS(Tabla35[Abonos],Tabla35[Lote],B13,Tabla35[Cliente],C13,Tabla35[Concepto],"MULTIBANK")</f>
        <v>109278.97500000001</v>
      </c>
      <c r="L13" s="295">
        <f t="shared" si="7"/>
        <v>0</v>
      </c>
      <c r="M13" s="294">
        <f>'BASE DATOS'!AV12</f>
        <v>1600</v>
      </c>
      <c r="N13" s="294">
        <f>SUMIFS(Tabla35[Abonos],Tabla35[Lote],B13,Tabla35[Cliente],C13,Tabla35[Concepto],"GASTOS LEGALES")</f>
        <v>1600</v>
      </c>
      <c r="O13" s="295">
        <f t="shared" si="8"/>
        <v>0</v>
      </c>
      <c r="P13" s="298">
        <v>500</v>
      </c>
      <c r="Q13" s="294">
        <f>SUMIFS(Tabla35[Abonos],Tabla35[Lote],B13,Tabla35[Cliente],C13,Tabla35[Concepto],"FONDO ADM")</f>
        <v>500</v>
      </c>
      <c r="R13" s="295">
        <f t="shared" si="9"/>
        <v>0</v>
      </c>
      <c r="S13" s="294">
        <v>300</v>
      </c>
      <c r="T13" s="294">
        <f>SUMIFS(Tabla35[Abonos],Tabla35[Lote],B13,Tabla35[Cliente],C13,Tabla35[Concepto],"MEDIDOR")</f>
        <v>300</v>
      </c>
      <c r="U13" s="295">
        <f t="shared" si="10"/>
        <v>0</v>
      </c>
      <c r="V13" s="294"/>
      <c r="W13" s="294">
        <f>SUMIFS(Tabla35[Abonos],Tabla35[Lote],B13,Tabla35[Cliente],C13,Tabla35[Concepto],"PENALIZACIÓN")</f>
        <v>0</v>
      </c>
      <c r="X13" s="294">
        <f t="shared" si="1"/>
        <v>0</v>
      </c>
    </row>
    <row r="14" spans="2:24" ht="14" customHeight="1">
      <c r="B14" s="420" t="s">
        <v>26</v>
      </c>
      <c r="C14" s="421" t="str">
        <f>'BASE DATOS'!C13</f>
        <v>ROBERT RODRIGUEZ</v>
      </c>
      <c r="D14" s="291">
        <f>'BASE DATOS'!AA13</f>
        <v>160000.00000000003</v>
      </c>
      <c r="E14" s="299">
        <f t="shared" si="0"/>
        <v>0</v>
      </c>
      <c r="F14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300</v>
      </c>
      <c r="G14" s="291">
        <f>'BASE DATOS'!AE13</f>
        <v>56000</v>
      </c>
      <c r="H14" s="291">
        <f>SUMIFS(Tabla35[Abonos],Tabla35[Lote],B14,Tabla35[Cliente],C14,Tabla35[Concepto],"ABONO")</f>
        <v>56000</v>
      </c>
      <c r="I14" s="292">
        <f t="shared" si="2"/>
        <v>0</v>
      </c>
      <c r="J14" s="291">
        <f>'BASE DATOS'!AF13</f>
        <v>104000.00000000003</v>
      </c>
      <c r="K14" s="291">
        <f>SUMIFS(Tabla35[Abonos],Tabla35[Lote],B14,Tabla35[Cliente],C14,Tabla35[Concepto],"MULTIBANK")</f>
        <v>104000</v>
      </c>
      <c r="L14" s="292">
        <f t="shared" si="7"/>
        <v>0</v>
      </c>
      <c r="M14" s="291">
        <v>0</v>
      </c>
      <c r="N14" s="291">
        <f>SUMIFS(Tabla35[Abonos],Tabla35[Lote],B14,Tabla35[Cliente],C14,Tabla35[Concepto],"GASTOS LEGALES")</f>
        <v>0</v>
      </c>
      <c r="O14" s="292">
        <f t="shared" si="8"/>
        <v>0</v>
      </c>
      <c r="P14" s="290">
        <v>500</v>
      </c>
      <c r="Q14" s="291">
        <f>SUMIFS(Tabla35[Abonos],Tabla35[Lote],B14,Tabla35[Cliente],C14,Tabla35[Concepto],"FONDO ADM")</f>
        <v>500</v>
      </c>
      <c r="R14" s="292">
        <f t="shared" si="9"/>
        <v>0</v>
      </c>
      <c r="S14" s="291">
        <v>300</v>
      </c>
      <c r="T14" s="291">
        <f>SUMIFS(Tabla35[Abonos],Tabla35[Lote],B14,Tabla35[Cliente],C14,Tabla35[Concepto],"MEDIDOR")</f>
        <v>0</v>
      </c>
      <c r="U14" s="292">
        <f t="shared" si="10"/>
        <v>300</v>
      </c>
      <c r="V14" s="291"/>
      <c r="W14" s="290">
        <f>SUMIFS(Tabla35[Abonos],Tabla35[Lote],B14,Tabla35[Cliente],C14,Tabla35[Concepto],"PENALIZACIÓN")</f>
        <v>0</v>
      </c>
      <c r="X14" s="291">
        <f t="shared" si="1"/>
        <v>0</v>
      </c>
    </row>
    <row r="15" spans="2:24" ht="14" customHeight="1">
      <c r="B15" s="424" t="s">
        <v>27</v>
      </c>
      <c r="C15" s="425" t="str">
        <f>'BASE DATOS'!C14</f>
        <v>EDGAR UREÑA</v>
      </c>
      <c r="D15" s="290">
        <f>'BASE DATOS'!AA14</f>
        <v>152500</v>
      </c>
      <c r="E15" s="299">
        <f t="shared" si="0"/>
        <v>0</v>
      </c>
      <c r="F15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15" s="290">
        <f>'BASE DATOS'!AE14</f>
        <v>30500</v>
      </c>
      <c r="H15" s="290">
        <f>SUMIFS(Tabla35[Abonos],Tabla35[Lote],B15,Tabla35[Cliente],C15,Tabla35[Concepto],"ABONO")</f>
        <v>30500</v>
      </c>
      <c r="I15" s="293">
        <f t="shared" si="2"/>
        <v>0</v>
      </c>
      <c r="J15" s="290">
        <f>'BASE DATOS'!AF14</f>
        <v>122000</v>
      </c>
      <c r="K15" s="290">
        <f>SUMIFS(Tabla35[Abonos],Tabla35[Lote],B15,Tabla35[Cliente],C15,Tabla35[Concepto],"MULTIBANK")</f>
        <v>122000</v>
      </c>
      <c r="L15" s="293">
        <f t="shared" si="7"/>
        <v>0</v>
      </c>
      <c r="M15" s="290">
        <v>0</v>
      </c>
      <c r="N15" s="290">
        <f>SUMIFS(Tabla35[Abonos],Tabla35[Lote],B15,Tabla35[Cliente],C15,Tabla35[Concepto],"GASTOS LEGALES")</f>
        <v>0</v>
      </c>
      <c r="O15" s="293">
        <f t="shared" si="8"/>
        <v>0</v>
      </c>
      <c r="P15" s="290">
        <v>500</v>
      </c>
      <c r="Q15" s="290">
        <f>SUMIFS(Tabla35[Abonos],Tabla35[Lote],B15,Tabla35[Cliente],C15,Tabla35[Concepto],"FONDO ADM")</f>
        <v>500</v>
      </c>
      <c r="R15" s="293">
        <f t="shared" si="9"/>
        <v>0</v>
      </c>
      <c r="S15" s="290">
        <v>300</v>
      </c>
      <c r="T15" s="290">
        <f>SUMIFS(Tabla35[Abonos],Tabla35[Lote],B15,Tabla35[Cliente],C15,Tabla35[Concepto],"MEDIDOR")</f>
        <v>300</v>
      </c>
      <c r="U15" s="293">
        <f t="shared" si="10"/>
        <v>0</v>
      </c>
      <c r="V15" s="290"/>
      <c r="W15" s="290">
        <f>SUMIFS(Tabla35[Abonos],Tabla35[Lote],B15,Tabla35[Cliente],C15,Tabla35[Concepto],"PENALIZACIÓN")</f>
        <v>0</v>
      </c>
      <c r="X15" s="290">
        <f t="shared" si="1"/>
        <v>0</v>
      </c>
    </row>
    <row r="16" spans="2:24" ht="14" customHeight="1">
      <c r="B16" s="424" t="s">
        <v>28</v>
      </c>
      <c r="C16" s="425" t="str">
        <f>'BASE DATOS'!C15</f>
        <v>CARLOS ARAGON / MILAINE DOMINGUEZ</v>
      </c>
      <c r="D16" s="290">
        <f>'BASE DATOS'!AA15</f>
        <v>185270</v>
      </c>
      <c r="E16" s="299">
        <f t="shared" si="0"/>
        <v>123214.07999999999</v>
      </c>
      <c r="F16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128214.07999999999</v>
      </c>
      <c r="G16" s="290">
        <f>'BASE DATOS'!AE15</f>
        <v>185270</v>
      </c>
      <c r="H16" s="290">
        <f>SUMIFS(Tabla35[Abonos],Tabla35[Lote],B16,Tabla35[Cliente],C16,Tabla35[Concepto],"ABONO")</f>
        <v>62055.920000000006</v>
      </c>
      <c r="I16" s="293">
        <f t="shared" si="2"/>
        <v>123214.07999999999</v>
      </c>
      <c r="J16" s="290">
        <f>'BASE DATOS'!AF15</f>
        <v>0</v>
      </c>
      <c r="K16" s="290">
        <f>SUMIFS(Tabla35[Abonos],Tabla35[Lote],B16,Tabla35[Cliente],C16,Tabla35[Concepto],"MULTIBANK")</f>
        <v>0</v>
      </c>
      <c r="L16" s="293">
        <f t="shared" si="7"/>
        <v>0</v>
      </c>
      <c r="M16" s="290">
        <f>'BASE DATOS'!AV15</f>
        <v>0</v>
      </c>
      <c r="N16" s="290">
        <f>SUMIFS(Tabla35[Abonos],Tabla35[Lote],B16,Tabla35[Cliente],C16,Tabla35[Concepto],"GASTOS LEGALES")</f>
        <v>0</v>
      </c>
      <c r="O16" s="293">
        <f t="shared" si="8"/>
        <v>0</v>
      </c>
      <c r="P16" s="290">
        <v>500</v>
      </c>
      <c r="Q16" s="290">
        <f>SUMIFS(Tabla35[Abonos],Tabla35[Lote],B16,Tabla35[Cliente],C16,Tabla35[Concepto],"FONDO ADM")</f>
        <v>500</v>
      </c>
      <c r="R16" s="293">
        <f t="shared" si="9"/>
        <v>0</v>
      </c>
      <c r="S16" s="290">
        <v>300</v>
      </c>
      <c r="T16" s="290">
        <f>SUMIFS(Tabla35[Abonos],Tabla35[Lote],B16,Tabla35[Cliente],C16,Tabla35[Concepto],"MEDIDOR")</f>
        <v>300</v>
      </c>
      <c r="U16" s="293">
        <f t="shared" si="10"/>
        <v>0</v>
      </c>
      <c r="V16" s="290">
        <v>5000</v>
      </c>
      <c r="W16" s="290">
        <f>SUMIFS(Tabla35[Abonos],Tabla35[Lote],B16,Tabla35[Cliente],C16,Tabla35[Concepto],"PENALIZACIÓN")</f>
        <v>0</v>
      </c>
      <c r="X16" s="290">
        <f t="shared" si="1"/>
        <v>5000</v>
      </c>
    </row>
    <row r="17" spans="2:24" ht="14" customHeight="1">
      <c r="B17" s="424" t="s">
        <v>29</v>
      </c>
      <c r="C17" s="425" t="str">
        <f>'BASE DATOS'!C16</f>
        <v>VERA ANN MATTHEWS / RUDOLF MATTHEWS</v>
      </c>
      <c r="D17" s="290">
        <f>'BASE DATOS'!AA16</f>
        <v>191892.6</v>
      </c>
      <c r="E17" s="299">
        <f t="shared" si="0"/>
        <v>0</v>
      </c>
      <c r="F17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300</v>
      </c>
      <c r="G17" s="290">
        <f>'BASE DATOS'!AE16</f>
        <v>63751.650000000009</v>
      </c>
      <c r="H17" s="290">
        <f>SUMIFS(Tabla35[Abonos],Tabla35[Lote],B17,Tabla35[Cliente],C17,Tabla35[Concepto],"ABONO")</f>
        <v>63751.649999999994</v>
      </c>
      <c r="I17" s="293">
        <f t="shared" si="2"/>
        <v>0</v>
      </c>
      <c r="J17" s="290">
        <f>'BASE DATOS'!AF16</f>
        <v>128140.95</v>
      </c>
      <c r="K17" s="290">
        <f>SUMIFS(Tabla35[Abonos],Tabla35[Lote],B17,Tabla35[Cliente],C17,Tabla35[Concepto],"MULTIBANK")</f>
        <v>128140.95</v>
      </c>
      <c r="L17" s="293">
        <f t="shared" si="7"/>
        <v>0</v>
      </c>
      <c r="M17" s="290">
        <v>0</v>
      </c>
      <c r="N17" s="290">
        <f>SUMIFS(Tabla35[Abonos],Tabla35[Lote],B17,Tabla35[Cliente],C17,Tabla35[Concepto],"GASTOS LEGALES")</f>
        <v>0</v>
      </c>
      <c r="O17" s="293">
        <f t="shared" si="8"/>
        <v>0</v>
      </c>
      <c r="P17" s="290">
        <v>500</v>
      </c>
      <c r="Q17" s="290">
        <f>SUMIFS(Tabla35[Abonos],Tabla35[Lote],B17,Tabla35[Cliente],C17,Tabla35[Concepto],"FONDO ADM")</f>
        <v>500</v>
      </c>
      <c r="R17" s="293">
        <f t="shared" si="9"/>
        <v>0</v>
      </c>
      <c r="S17" s="290">
        <v>300</v>
      </c>
      <c r="T17" s="290">
        <f>SUMIFS(Tabla35[Abonos],Tabla35[Lote],B17,Tabla35[Cliente],C17,Tabla35[Concepto],"MEDIDOR")</f>
        <v>0</v>
      </c>
      <c r="U17" s="293">
        <f t="shared" si="10"/>
        <v>300</v>
      </c>
      <c r="V17" s="290"/>
      <c r="W17" s="290">
        <f>SUMIFS(Tabla35[Abonos],Tabla35[Lote],B17,Tabla35[Cliente],C17,Tabla35[Concepto],"PENALIZACIÓN")</f>
        <v>0</v>
      </c>
      <c r="X17" s="290">
        <f t="shared" si="1"/>
        <v>0</v>
      </c>
    </row>
    <row r="18" spans="2:24" ht="14" customHeight="1">
      <c r="B18" s="424" t="s">
        <v>31</v>
      </c>
      <c r="C18" s="425" t="str">
        <f>'BASE DATOS'!C17</f>
        <v>GABRIEL DIAZ / NURIA CASTILLO</v>
      </c>
      <c r="D18" s="290">
        <f>'BASE DATOS'!AA17</f>
        <v>180000</v>
      </c>
      <c r="E18" s="299">
        <f t="shared" si="0"/>
        <v>0</v>
      </c>
      <c r="F18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18" s="290">
        <f>'BASE DATOS'!AE17</f>
        <v>50000</v>
      </c>
      <c r="H18" s="290">
        <f>SUMIFS(Tabla35[Abonos],Tabla35[Lote],B18,Tabla35[Cliente],C18,Tabla35[Concepto],"ABONO")</f>
        <v>50000</v>
      </c>
      <c r="I18" s="293">
        <f t="shared" si="2"/>
        <v>0</v>
      </c>
      <c r="J18" s="290">
        <f>'BASE DATOS'!AF17</f>
        <v>130000</v>
      </c>
      <c r="K18" s="290">
        <f>SUMIFS(Tabla35[Abonos],Tabla35[Lote],B18,Tabla35[Cliente],C18,Tabla35[Concepto],"MULTIBANK")</f>
        <v>130000</v>
      </c>
      <c r="L18" s="293">
        <f t="shared" si="7"/>
        <v>0</v>
      </c>
      <c r="M18" s="290">
        <v>0</v>
      </c>
      <c r="N18" s="290">
        <f>SUMIFS(Tabla35[Abonos],Tabla35[Lote],B18,Tabla35[Cliente],C18,Tabla35[Concepto],"GASTOS LEGALES")</f>
        <v>0</v>
      </c>
      <c r="O18" s="293">
        <f t="shared" si="8"/>
        <v>0</v>
      </c>
      <c r="P18" s="290">
        <v>500</v>
      </c>
      <c r="Q18" s="290">
        <f>SUMIFS(Tabla35[Abonos],Tabla35[Lote],B18,Tabla35[Cliente],C18,Tabla35[Concepto],"FONDO ADM")</f>
        <v>500</v>
      </c>
      <c r="R18" s="293">
        <f t="shared" si="9"/>
        <v>0</v>
      </c>
      <c r="S18" s="290">
        <v>300</v>
      </c>
      <c r="T18" s="290">
        <f>SUMIFS(Tabla35[Abonos],Tabla35[Lote],B18,Tabla35[Cliente],C18,Tabla35[Concepto],"MEDIDOR")</f>
        <v>300</v>
      </c>
      <c r="U18" s="293">
        <f t="shared" si="10"/>
        <v>0</v>
      </c>
      <c r="V18" s="290"/>
      <c r="W18" s="290">
        <f>SUMIFS(Tabla35[Abonos],Tabla35[Lote],B18,Tabla35[Cliente],C18,Tabla35[Concepto],"PENALIZACIÓN")</f>
        <v>0</v>
      </c>
      <c r="X18" s="290">
        <f t="shared" si="1"/>
        <v>0</v>
      </c>
    </row>
    <row r="19" spans="2:24" ht="14" customHeight="1">
      <c r="B19" s="424" t="s">
        <v>32</v>
      </c>
      <c r="C19" s="425" t="str">
        <f>'BASE DATOS'!C18</f>
        <v>JOHN ESTRELLA / MARIA ESTRELLA</v>
      </c>
      <c r="D19" s="290">
        <f>'BASE DATOS'!AA18</f>
        <v>205422.3</v>
      </c>
      <c r="E19" s="299">
        <f t="shared" si="0"/>
        <v>0</v>
      </c>
      <c r="F19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19" s="290">
        <f>'BASE DATOS'!AE18</f>
        <v>61626.69</v>
      </c>
      <c r="H19" s="290">
        <f>SUMIFS(Tabla35[Abonos],Tabla35[Lote],B19,Tabla35[Cliente],C19,Tabla35[Concepto],"ABONO")</f>
        <v>61626.69</v>
      </c>
      <c r="I19" s="293">
        <f t="shared" si="2"/>
        <v>0</v>
      </c>
      <c r="J19" s="290">
        <f>'BASE DATOS'!AF18</f>
        <v>143795.60999999999</v>
      </c>
      <c r="K19" s="290">
        <f>SUMIFS(Tabla35[Abonos],Tabla35[Lote],B19,Tabla35[Cliente],C19,Tabla35[Concepto],"MULTIBANK")</f>
        <v>143795.60999999999</v>
      </c>
      <c r="L19" s="293">
        <f t="shared" si="7"/>
        <v>0</v>
      </c>
      <c r="M19" s="290">
        <f>'BASE DATOS'!AV18</f>
        <v>1805</v>
      </c>
      <c r="N19" s="290">
        <f>SUMIFS(Tabla35[Abonos],Tabla35[Lote],B19,Tabla35[Cliente],C19,Tabla35[Concepto],"GASTOS LEGALES")</f>
        <v>1805</v>
      </c>
      <c r="O19" s="293">
        <f t="shared" si="8"/>
        <v>0</v>
      </c>
      <c r="P19" s="290">
        <v>500</v>
      </c>
      <c r="Q19" s="290">
        <f>SUMIFS(Tabla35[Abonos],Tabla35[Lote],B19,Tabla35[Cliente],C19,Tabla35[Concepto],"FONDO ADM")</f>
        <v>500</v>
      </c>
      <c r="R19" s="293">
        <f t="shared" si="9"/>
        <v>0</v>
      </c>
      <c r="S19" s="290">
        <v>300</v>
      </c>
      <c r="T19" s="290">
        <f>SUMIFS(Tabla35[Abonos],Tabla35[Lote],B19,Tabla35[Cliente],C19,Tabla35[Concepto],"MEDIDOR")</f>
        <v>300</v>
      </c>
      <c r="U19" s="293">
        <f t="shared" si="10"/>
        <v>0</v>
      </c>
      <c r="V19" s="290"/>
      <c r="W19" s="290">
        <f>SUMIFS(Tabla35[Abonos],Tabla35[Lote],B19,Tabla35[Cliente],C19,Tabla35[Concepto],"PENALIZACIÓN")</f>
        <v>0</v>
      </c>
      <c r="X19" s="290">
        <f t="shared" si="1"/>
        <v>0</v>
      </c>
    </row>
    <row r="20" spans="2:24" ht="14" customHeight="1">
      <c r="B20" s="424" t="s">
        <v>35</v>
      </c>
      <c r="C20" s="425" t="str">
        <f>'BASE DATOS'!C19</f>
        <v>LEO MC DONOUGH / JODI ELLIOT</v>
      </c>
      <c r="D20" s="290">
        <f>'BASE DATOS'!AA19</f>
        <v>299000</v>
      </c>
      <c r="E20" s="299">
        <f t="shared" si="0"/>
        <v>0</v>
      </c>
      <c r="F20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20" s="290">
        <f>'BASE DATOS'!AE19</f>
        <v>89700</v>
      </c>
      <c r="H20" s="290">
        <f>SUMIFS(Tabla35[Abonos],Tabla35[Lote],B20,Tabla35[Cliente],C20,Tabla35[Concepto],"ABONO")</f>
        <v>89700</v>
      </c>
      <c r="I20" s="293">
        <f t="shared" si="2"/>
        <v>0</v>
      </c>
      <c r="J20" s="290">
        <f>'BASE DATOS'!AF19</f>
        <v>209300</v>
      </c>
      <c r="K20" s="290">
        <f>SUMIFS(Tabla35[Abonos],Tabla35[Lote],B20,Tabla35[Cliente],C20,Tabla35[Concepto],"MULTIBANK")</f>
        <v>209300</v>
      </c>
      <c r="L20" s="293">
        <f t="shared" si="7"/>
        <v>0</v>
      </c>
      <c r="M20" s="290">
        <f>'BASE DATOS'!AV19</f>
        <v>1967</v>
      </c>
      <c r="N20" s="290">
        <f>SUMIFS(Tabla35[Abonos],Tabla35[Lote],B20,Tabla35[Cliente],C20,Tabla35[Concepto],"GASTOS LEGALES")</f>
        <v>1967</v>
      </c>
      <c r="O20" s="293">
        <f t="shared" si="8"/>
        <v>0</v>
      </c>
      <c r="P20" s="290">
        <v>500</v>
      </c>
      <c r="Q20" s="290">
        <f>SUMIFS(Tabla35[Abonos],Tabla35[Lote],B20,Tabla35[Cliente],C20,Tabla35[Concepto],"FONDO ADM")</f>
        <v>500</v>
      </c>
      <c r="R20" s="293">
        <f t="shared" si="9"/>
        <v>0</v>
      </c>
      <c r="S20" s="290">
        <v>300</v>
      </c>
      <c r="T20" s="290">
        <f>SUMIFS(Tabla35[Abonos],Tabla35[Lote],B20,Tabla35[Cliente],C20,Tabla35[Concepto],"MEDIDOR")</f>
        <v>300</v>
      </c>
      <c r="U20" s="293">
        <f t="shared" si="10"/>
        <v>0</v>
      </c>
      <c r="V20" s="290"/>
      <c r="W20" s="290">
        <f>SUMIFS(Tabla35[Abonos],Tabla35[Lote],B20,Tabla35[Cliente],C20,Tabla35[Concepto],"PENALIZACIÓN")</f>
        <v>0</v>
      </c>
      <c r="X20" s="290">
        <f t="shared" si="1"/>
        <v>0</v>
      </c>
    </row>
    <row r="21" spans="2:24" ht="14" customHeight="1">
      <c r="B21" s="424" t="s">
        <v>37</v>
      </c>
      <c r="C21" s="425" t="str">
        <f>'BASE DATOS'!C20</f>
        <v>CONSTRUA INTERNATIONAL</v>
      </c>
      <c r="D21" s="290">
        <f>'BASE DATOS'!AA20</f>
        <v>250000</v>
      </c>
      <c r="E21" s="299">
        <f>I21+L21</f>
        <v>0</v>
      </c>
      <c r="F21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800</v>
      </c>
      <c r="G21" s="290">
        <f>'BASE DATOS'!AE20</f>
        <v>250000</v>
      </c>
      <c r="H21" s="290">
        <f>SUMIFS(Tabla35[Abonos],Tabla35[Lote],B21,Tabla35[Cliente],C21,Tabla35[Concepto],"ABONO")</f>
        <v>250000</v>
      </c>
      <c r="I21" s="293">
        <f t="shared" si="2"/>
        <v>0</v>
      </c>
      <c r="J21" s="290">
        <f>'BASE DATOS'!AF20</f>
        <v>0</v>
      </c>
      <c r="K21" s="290">
        <f>SUMIFS(Tabla35[Abonos],Tabla35[Lote],B21,Tabla35[Cliente],C21,Tabla35[Concepto],"MULTIBANK")</f>
        <v>0</v>
      </c>
      <c r="L21" s="293">
        <f t="shared" si="7"/>
        <v>0</v>
      </c>
      <c r="M21" s="290">
        <f>'BASE DATOS'!AV20</f>
        <v>2078</v>
      </c>
      <c r="N21" s="290">
        <f>SUMIFS(Tabla35[Abonos],Tabla35[Lote],B21,Tabla35[Cliente],C21,Tabla35[Concepto],"GASTOS LEGALES")</f>
        <v>2078</v>
      </c>
      <c r="O21" s="293">
        <f t="shared" si="8"/>
        <v>0</v>
      </c>
      <c r="P21" s="290">
        <v>500</v>
      </c>
      <c r="Q21" s="290">
        <f>SUMIFS(Tabla35[Abonos],Tabla35[Lote],B21,Tabla35[Cliente],C21,Tabla35[Concepto],"FONDO ADM")</f>
        <v>0</v>
      </c>
      <c r="R21" s="293">
        <f t="shared" si="9"/>
        <v>500</v>
      </c>
      <c r="S21" s="290">
        <v>300</v>
      </c>
      <c r="T21" s="290">
        <f>SUMIFS(Tabla35[Abonos],Tabla35[Lote],B21,Tabla35[Cliente],C21,Tabla35[Concepto],"MEDIDOR")</f>
        <v>0</v>
      </c>
      <c r="U21" s="293">
        <f t="shared" si="10"/>
        <v>300</v>
      </c>
      <c r="V21" s="290"/>
      <c r="W21" s="290">
        <f>SUMIFS(Tabla35[Abonos],Tabla35[Lote],B21,Tabla35[Cliente],C21,Tabla35[Concepto],"PENALIZACIÓN")</f>
        <v>0</v>
      </c>
      <c r="X21" s="290">
        <f t="shared" si="1"/>
        <v>0</v>
      </c>
    </row>
    <row r="22" spans="2:24" ht="14" customHeight="1">
      <c r="B22" s="424" t="s">
        <v>38</v>
      </c>
      <c r="C22" s="425" t="str">
        <f>'BASE DATOS'!C21</f>
        <v>BOJAN MALISEVIC / ZORAN MALISEVIC</v>
      </c>
      <c r="D22" s="290">
        <f>'BASE DATOS'!AA21</f>
        <v>205000</v>
      </c>
      <c r="E22" s="299">
        <f t="shared" si="0"/>
        <v>0</v>
      </c>
      <c r="F22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22" s="290">
        <f>'BASE DATOS'!AE21</f>
        <v>155000</v>
      </c>
      <c r="H22" s="290">
        <f>SUMIFS(Tabla35[Abonos],Tabla35[Lote],B22,Tabla35[Cliente],C22,Tabla35[Concepto],"ABONO")</f>
        <v>155000</v>
      </c>
      <c r="I22" s="293">
        <f t="shared" si="2"/>
        <v>0</v>
      </c>
      <c r="J22" s="290">
        <f>'BASE DATOS'!AF21</f>
        <v>50000</v>
      </c>
      <c r="K22" s="290">
        <f>SUMIFS(Tabla35[Abonos],Tabla35[Lote],B22,Tabla35[Cliente],C22,Tabla35[Concepto],"MULTIBANK")</f>
        <v>50000</v>
      </c>
      <c r="L22" s="293">
        <f>J22-K22</f>
        <v>0</v>
      </c>
      <c r="M22" s="290">
        <f>'BASE DATOS'!AV21</f>
        <v>1900</v>
      </c>
      <c r="N22" s="290">
        <f>SUMIFS(Tabla35[Abonos],Tabla35[Lote],B22,Tabla35[Cliente],C22,Tabla35[Concepto],"GASTOS LEGALES")</f>
        <v>1900</v>
      </c>
      <c r="O22" s="293">
        <f t="shared" si="8"/>
        <v>0</v>
      </c>
      <c r="P22" s="290">
        <v>500</v>
      </c>
      <c r="Q22" s="290">
        <f>SUMIFS(Tabla35[Abonos],Tabla35[Lote],B22,Tabla35[Cliente],C22,Tabla35[Concepto],"FONDO ADM")</f>
        <v>500</v>
      </c>
      <c r="R22" s="293">
        <f t="shared" si="9"/>
        <v>0</v>
      </c>
      <c r="S22" s="290">
        <v>300</v>
      </c>
      <c r="T22" s="290">
        <f>SUMIFS(Tabla35[Abonos],Tabla35[Lote],B22,Tabla35[Cliente],C22,Tabla35[Concepto],"MEDIDOR")</f>
        <v>300</v>
      </c>
      <c r="U22" s="293">
        <f t="shared" si="10"/>
        <v>0</v>
      </c>
      <c r="V22" s="290"/>
      <c r="W22" s="290">
        <f>SUMIFS(Tabla35[Abonos],Tabla35[Lote],B22,Tabla35[Cliente],C22,Tabla35[Concepto],"PENALIZACIÓN")</f>
        <v>0</v>
      </c>
      <c r="X22" s="290">
        <f t="shared" si="1"/>
        <v>0</v>
      </c>
    </row>
    <row r="23" spans="2:24" ht="14" customHeight="1">
      <c r="B23" s="424" t="s">
        <v>41</v>
      </c>
      <c r="C23" s="425" t="str">
        <f>'BASE DATOS'!C22</f>
        <v>MICHAEL BELANGER</v>
      </c>
      <c r="D23" s="290">
        <f>'BASE DATOS'!AA22</f>
        <v>146853</v>
      </c>
      <c r="E23" s="299">
        <f t="shared" si="0"/>
        <v>0</v>
      </c>
      <c r="F23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23" s="290">
        <f>'BASE DATOS'!AE22</f>
        <v>44055.900000000009</v>
      </c>
      <c r="H23" s="290">
        <f>SUMIFS(Tabla35[Abonos],Tabla35[Lote],B23,Tabla35[Cliente],C23,Tabla35[Concepto],"ABONO")</f>
        <v>44055.9</v>
      </c>
      <c r="I23" s="293">
        <f t="shared" si="2"/>
        <v>0</v>
      </c>
      <c r="J23" s="290">
        <f>'BASE DATOS'!AF22</f>
        <v>102797.09999999999</v>
      </c>
      <c r="K23" s="290">
        <f>SUMIFS(Tabla35[Abonos],Tabla35[Lote],B23,Tabla35[Cliente],C23,Tabla35[Concepto],"MULTIBANK")</f>
        <v>102797.1</v>
      </c>
      <c r="L23" s="293">
        <f t="shared" si="7"/>
        <v>0</v>
      </c>
      <c r="M23" s="290">
        <f>'BASE DATOS'!AV22</f>
        <v>450</v>
      </c>
      <c r="N23" s="290">
        <f>SUMIFS(Tabla35[Abonos],Tabla35[Lote],B23,Tabla35[Cliente],C23,Tabla35[Concepto],"GASTOS LEGALES")</f>
        <v>450</v>
      </c>
      <c r="O23" s="293">
        <f t="shared" si="8"/>
        <v>0</v>
      </c>
      <c r="P23" s="290">
        <v>500</v>
      </c>
      <c r="Q23" s="290">
        <f>SUMIFS(Tabla35[Abonos],Tabla35[Lote],B23,Tabla35[Cliente],C23,Tabla35[Concepto],"FONDO ADM")</f>
        <v>500</v>
      </c>
      <c r="R23" s="293">
        <f t="shared" si="9"/>
        <v>0</v>
      </c>
      <c r="S23" s="290">
        <v>300</v>
      </c>
      <c r="T23" s="290">
        <f>SUMIFS(Tabla35[Abonos],Tabla35[Lote],B23,Tabla35[Cliente],C23,Tabla35[Concepto],"MEDIDOR")</f>
        <v>300</v>
      </c>
      <c r="U23" s="293">
        <f t="shared" si="10"/>
        <v>0</v>
      </c>
      <c r="V23" s="290"/>
      <c r="W23" s="290">
        <f>SUMIFS(Tabla35[Abonos],Tabla35[Lote],B23,Tabla35[Cliente],C23,Tabla35[Concepto],"PENALIZACIÓN")</f>
        <v>0</v>
      </c>
      <c r="X23" s="290">
        <f t="shared" si="1"/>
        <v>0</v>
      </c>
    </row>
    <row r="24" spans="2:24" ht="14" customHeight="1">
      <c r="B24" s="426" t="s">
        <v>44</v>
      </c>
      <c r="C24" s="427" t="str">
        <f>'BASE DATOS'!C23</f>
        <v>KOYNE LOISELLE</v>
      </c>
      <c r="D24" s="294">
        <f>'BASE DATOS'!AA23</f>
        <v>161528.50000000003</v>
      </c>
      <c r="E24" s="298">
        <f t="shared" si="0"/>
        <v>0</v>
      </c>
      <c r="F24" s="295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377.09999999999991</v>
      </c>
      <c r="G24" s="294">
        <f>'BASE DATOS'!AE23</f>
        <v>48458.550000000017</v>
      </c>
      <c r="H24" s="294">
        <f>SUMIFS(Tabla35[Abonos],Tabla35[Lote],B24,Tabla35[Cliente],C24,Tabla35[Concepto],"ABONO")</f>
        <v>48458.55</v>
      </c>
      <c r="I24" s="295">
        <f t="shared" si="2"/>
        <v>0</v>
      </c>
      <c r="J24" s="294">
        <f>'BASE DATOS'!AF23</f>
        <v>113069.95000000001</v>
      </c>
      <c r="K24" s="294">
        <f>SUMIFS(Tabla35[Abonos],Tabla35[Lote],B24,Tabla35[Cliente],C24,Tabla35[Concepto],"MULTIBANK")</f>
        <v>113069.95</v>
      </c>
      <c r="L24" s="295">
        <f t="shared" si="7"/>
        <v>0</v>
      </c>
      <c r="M24" s="294">
        <f>'BASE DATOS'!AV23</f>
        <v>1550</v>
      </c>
      <c r="N24" s="294">
        <f>SUMIFS(Tabla35[Abonos],Tabla35[Lote],B24,Tabla35[Cliente],C24,Tabla35[Concepto],"GASTOS LEGALES")</f>
        <v>1472.9</v>
      </c>
      <c r="O24" s="295">
        <f t="shared" si="8"/>
        <v>77.099999999999909</v>
      </c>
      <c r="P24" s="298">
        <v>500</v>
      </c>
      <c r="Q24" s="294">
        <f>SUMIFS(Tabla35[Abonos],Tabla35[Lote],B24,Tabla35[Cliente],C24,Tabla35[Concepto],"FONDO ADM")</f>
        <v>500</v>
      </c>
      <c r="R24" s="295">
        <f t="shared" si="9"/>
        <v>0</v>
      </c>
      <c r="S24" s="294">
        <v>300</v>
      </c>
      <c r="T24" s="294">
        <f>SUMIFS(Tabla35[Abonos],Tabla35[Lote],B24,Tabla35[Cliente],C24,Tabla35[Concepto],"MEDIDOR")</f>
        <v>0</v>
      </c>
      <c r="U24" s="295">
        <f t="shared" si="10"/>
        <v>300</v>
      </c>
      <c r="V24" s="294"/>
      <c r="W24" s="294">
        <f>SUMIFS(Tabla35[Abonos],Tabla35[Lote],B24,Tabla35[Cliente],C24,Tabla35[Concepto],"PENALIZACIÓN")</f>
        <v>0</v>
      </c>
      <c r="X24" s="294">
        <f t="shared" si="1"/>
        <v>0</v>
      </c>
    </row>
    <row r="25" spans="2:24" ht="14" customHeight="1">
      <c r="B25" s="420" t="s">
        <v>47</v>
      </c>
      <c r="C25" s="421" t="str">
        <f>'BASE DATOS'!C24</f>
        <v>SCOTT WAYNE / THI LE NETTIE</v>
      </c>
      <c r="D25" s="291">
        <f>'BASE DATOS'!AA24</f>
        <v>202000</v>
      </c>
      <c r="E25" s="299">
        <f t="shared" si="0"/>
        <v>0</v>
      </c>
      <c r="F25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300</v>
      </c>
      <c r="G25" s="291">
        <f>'BASE DATOS'!AE24</f>
        <v>70700</v>
      </c>
      <c r="H25" s="291">
        <f>SUMIFS(Tabla35[Abonos],Tabla35[Lote],B25,Tabla35[Cliente],C25,Tabla35[Concepto],"ABONO")</f>
        <v>70700</v>
      </c>
      <c r="I25" s="292">
        <f t="shared" si="2"/>
        <v>0</v>
      </c>
      <c r="J25" s="291">
        <f>'BASE DATOS'!AF24</f>
        <v>131300</v>
      </c>
      <c r="K25" s="291">
        <f>SUMIFS(Tabla35[Abonos],Tabla35[Lote],B25,Tabla35[Cliente],C25,Tabla35[Concepto],"MULTIBANK")</f>
        <v>131300</v>
      </c>
      <c r="L25" s="292">
        <f t="shared" si="7"/>
        <v>0</v>
      </c>
      <c r="M25" s="291">
        <f>'BASE DATOS'!AV24</f>
        <v>1870</v>
      </c>
      <c r="N25" s="291">
        <f>SUMIFS(Tabla35[Abonos],Tabla35[Lote],B25,Tabla35[Cliente],C25,Tabla35[Concepto],"GASTOS LEGALES")</f>
        <v>1870</v>
      </c>
      <c r="O25" s="292">
        <f t="shared" si="8"/>
        <v>0</v>
      </c>
      <c r="P25" s="290">
        <v>500</v>
      </c>
      <c r="Q25" s="291">
        <f>SUMIFS(Tabla35[Abonos],Tabla35[Lote],B25,Tabla35[Cliente],C25,Tabla35[Concepto],"FONDO ADM")</f>
        <v>500</v>
      </c>
      <c r="R25" s="292">
        <f t="shared" si="9"/>
        <v>0</v>
      </c>
      <c r="S25" s="291">
        <v>300</v>
      </c>
      <c r="T25" s="291">
        <f>SUMIFS(Tabla35[Abonos],Tabla35[Lote],B25,Tabla35[Cliente],C25,Tabla35[Concepto],"MEDIDOR")</f>
        <v>0</v>
      </c>
      <c r="U25" s="292">
        <f t="shared" si="10"/>
        <v>300</v>
      </c>
      <c r="V25" s="291"/>
      <c r="W25" s="290">
        <f>SUMIFS(Tabla35[Abonos],Tabla35[Lote],B25,Tabla35[Cliente],C25,Tabla35[Concepto],"PENALIZACIÓN")</f>
        <v>0</v>
      </c>
      <c r="X25" s="291">
        <f t="shared" si="1"/>
        <v>0</v>
      </c>
    </row>
    <row r="26" spans="2:24" ht="14" customHeight="1">
      <c r="B26" s="424" t="s">
        <v>49</v>
      </c>
      <c r="C26" s="425" t="str">
        <f>'BASE DATOS'!C25</f>
        <v>CARLOS ARAGON</v>
      </c>
      <c r="D26" s="290">
        <f>'BASE DATOS'!AA25</f>
        <v>145000</v>
      </c>
      <c r="E26" s="299">
        <f t="shared" si="0"/>
        <v>57.100000000005821</v>
      </c>
      <c r="F26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57.100000000005821</v>
      </c>
      <c r="G26" s="290">
        <f>'BASE DATOS'!AE25</f>
        <v>145000</v>
      </c>
      <c r="H26" s="290">
        <f>SUMIFS(Tabla35[Abonos],Tabla35[Lote],B26,Tabla35[Cliente],C26,Tabla35[Concepto],"ABONO")</f>
        <v>144942.9</v>
      </c>
      <c r="I26" s="293">
        <f t="shared" si="2"/>
        <v>57.100000000005821</v>
      </c>
      <c r="J26" s="290">
        <f>'BASE DATOS'!AF25</f>
        <v>0</v>
      </c>
      <c r="K26" s="290">
        <f>SUMIFS(Tabla35[Abonos],Tabla35[Lote],B26,Tabla35[Cliente],C26,Tabla35[Concepto],"MULTIBANK")</f>
        <v>0</v>
      </c>
      <c r="L26" s="293">
        <f t="shared" si="7"/>
        <v>0</v>
      </c>
      <c r="M26" s="290">
        <f>'BASE DATOS'!AV25</f>
        <v>1593</v>
      </c>
      <c r="N26" s="290">
        <f>SUMIFS(Tabla35[Abonos],Tabla35[Lote],B26,Tabla35[Cliente],C26,Tabla35[Concepto],"GASTOS LEGALES")</f>
        <v>1593</v>
      </c>
      <c r="O26" s="293">
        <f t="shared" si="8"/>
        <v>0</v>
      </c>
      <c r="P26" s="290">
        <v>500</v>
      </c>
      <c r="Q26" s="290">
        <f>SUMIFS(Tabla35[Abonos],Tabla35[Lote],B26,Tabla35[Cliente],C26,Tabla35[Concepto],"FONDO ADM")</f>
        <v>500</v>
      </c>
      <c r="R26" s="293">
        <f t="shared" si="9"/>
        <v>0</v>
      </c>
      <c r="S26" s="290">
        <v>300</v>
      </c>
      <c r="T26" s="290">
        <f>SUMIFS(Tabla35[Abonos],Tabla35[Lote],B26,Tabla35[Cliente],C26,Tabla35[Concepto],"MEDIDOR")</f>
        <v>300</v>
      </c>
      <c r="U26" s="293">
        <f t="shared" si="10"/>
        <v>0</v>
      </c>
      <c r="V26" s="290"/>
      <c r="W26" s="290">
        <f>SUMIFS(Tabla35[Abonos],Tabla35[Lote],B26,Tabla35[Cliente],C26,Tabla35[Concepto],"PENALIZACIÓN")</f>
        <v>0</v>
      </c>
      <c r="X26" s="290">
        <f t="shared" si="1"/>
        <v>0</v>
      </c>
    </row>
    <row r="27" spans="2:24" ht="14" customHeight="1">
      <c r="B27" s="424" t="s">
        <v>50</v>
      </c>
      <c r="C27" s="425" t="str">
        <f>'BASE DATOS'!C26</f>
        <v>INDIRA GARCIA</v>
      </c>
      <c r="D27" s="290">
        <f>'BASE DATOS'!AA26</f>
        <v>187000</v>
      </c>
      <c r="E27" s="299">
        <f t="shared" si="0"/>
        <v>0</v>
      </c>
      <c r="F27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27" s="290">
        <f>'BASE DATOS'!AE26</f>
        <v>17692.690000000002</v>
      </c>
      <c r="H27" s="290">
        <f>SUMIFS(Tabla35[Abonos],Tabla35[Lote],B27,Tabla35[Cliente],C27,Tabla35[Concepto],"ABONO")</f>
        <v>17692.690000000002</v>
      </c>
      <c r="I27" s="293">
        <f t="shared" si="2"/>
        <v>0</v>
      </c>
      <c r="J27" s="290">
        <f>'BASE DATOS'!AF26</f>
        <v>169307.31</v>
      </c>
      <c r="K27" s="290">
        <f>SUMIFS(Tabla35[Abonos],Tabla35[Lote],B27,Tabla35[Cliente],C27,Tabla35[Concepto],"MULTIBANK")</f>
        <v>169307.31</v>
      </c>
      <c r="L27" s="293">
        <f t="shared" si="7"/>
        <v>0</v>
      </c>
      <c r="M27" s="290">
        <v>0</v>
      </c>
      <c r="N27" s="290">
        <f>SUMIFS(Tabla35[Abonos],Tabla35[Lote],B27,Tabla35[Cliente],C27,Tabla35[Concepto],"GASTOS LEGALES")</f>
        <v>0</v>
      </c>
      <c r="O27" s="293">
        <f t="shared" si="8"/>
        <v>0</v>
      </c>
      <c r="P27" s="290">
        <v>500</v>
      </c>
      <c r="Q27" s="290">
        <f>SUMIFS(Tabla35[Abonos],Tabla35[Lote],B27,Tabla35[Cliente],C27,Tabla35[Concepto],"FONDO ADM")</f>
        <v>500</v>
      </c>
      <c r="R27" s="293">
        <f t="shared" si="9"/>
        <v>0</v>
      </c>
      <c r="S27" s="290">
        <v>300</v>
      </c>
      <c r="T27" s="290">
        <f>SUMIFS(Tabla35[Abonos],Tabla35[Lote],B27,Tabla35[Cliente],C27,Tabla35[Concepto],"MEDIDOR")</f>
        <v>300</v>
      </c>
      <c r="U27" s="293">
        <f t="shared" si="10"/>
        <v>0</v>
      </c>
      <c r="V27" s="290"/>
      <c r="W27" s="290">
        <f>SUMIFS(Tabla35[Abonos],Tabla35[Lote],B27,Tabla35[Cliente],C27,Tabla35[Concepto],"PENALIZACIÓN")</f>
        <v>0</v>
      </c>
      <c r="X27" s="290">
        <f t="shared" si="1"/>
        <v>0</v>
      </c>
    </row>
    <row r="28" spans="2:24" ht="14" customHeight="1">
      <c r="B28" s="424" t="s">
        <v>51</v>
      </c>
      <c r="C28" s="425" t="str">
        <f>'BASE DATOS'!C27</f>
        <v>JAMES STORK Y RUTH URIETA</v>
      </c>
      <c r="D28" s="290">
        <f>'BASE DATOS'!AA27</f>
        <v>183000</v>
      </c>
      <c r="E28" s="299">
        <f t="shared" si="0"/>
        <v>0</v>
      </c>
      <c r="F28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28" s="290">
        <f>'BASE DATOS'!AE27</f>
        <v>54900.000000000015</v>
      </c>
      <c r="H28" s="290">
        <f>SUMIFS(Tabla35[Abonos],Tabla35[Lote],B28,Tabla35[Cliente],C28,Tabla35[Concepto],"ABONO")</f>
        <v>54900</v>
      </c>
      <c r="I28" s="293">
        <f t="shared" si="2"/>
        <v>0</v>
      </c>
      <c r="J28" s="290">
        <f>'BASE DATOS'!AF27</f>
        <v>128099.99999999999</v>
      </c>
      <c r="K28" s="290">
        <f>SUMIFS(Tabla35[Abonos],Tabla35[Lote],B28,Tabla35[Cliente],C28,Tabla35[Concepto],"MULTIBANK")</f>
        <v>128100</v>
      </c>
      <c r="L28" s="293">
        <f t="shared" si="7"/>
        <v>0</v>
      </c>
      <c r="M28" s="290">
        <f>'BASE DATOS'!AV27</f>
        <v>1619</v>
      </c>
      <c r="N28" s="290">
        <f>SUMIFS(Tabla35[Abonos],Tabla35[Lote],B28,Tabla35[Cliente],C28,Tabla35[Concepto],"GASTOS LEGALES")</f>
        <v>1619</v>
      </c>
      <c r="O28" s="293">
        <f t="shared" si="8"/>
        <v>0</v>
      </c>
      <c r="P28" s="290">
        <v>500</v>
      </c>
      <c r="Q28" s="290">
        <f>SUMIFS(Tabla35[Abonos],Tabla35[Lote],B28,Tabla35[Cliente],C28,Tabla35[Concepto],"FONDO ADM")</f>
        <v>500</v>
      </c>
      <c r="R28" s="293">
        <f t="shared" si="9"/>
        <v>0</v>
      </c>
      <c r="S28" s="290">
        <v>300</v>
      </c>
      <c r="T28" s="290">
        <f>SUMIFS(Tabla35[Abonos],Tabla35[Lote],B28,Tabla35[Cliente],C28,Tabla35[Concepto],"MEDIDOR")</f>
        <v>300</v>
      </c>
      <c r="U28" s="293">
        <f t="shared" si="10"/>
        <v>0</v>
      </c>
      <c r="V28" s="290"/>
      <c r="W28" s="290">
        <f>SUMIFS(Tabla35[Abonos],Tabla35[Lote],B28,Tabla35[Cliente],C28,Tabla35[Concepto],"PENALIZACIÓN")</f>
        <v>0</v>
      </c>
      <c r="X28" s="290">
        <f t="shared" si="1"/>
        <v>0</v>
      </c>
    </row>
    <row r="29" spans="2:24" ht="14" customHeight="1">
      <c r="B29" s="424" t="s">
        <v>52</v>
      </c>
      <c r="C29" s="425" t="str">
        <f>'BASE DATOS'!C28</f>
        <v xml:space="preserve">GRUPO DICOS </v>
      </c>
      <c r="D29" s="290">
        <f>'BASE DATOS'!AA28</f>
        <v>187976.82</v>
      </c>
      <c r="E29" s="299">
        <f t="shared" si="0"/>
        <v>94976.82</v>
      </c>
      <c r="F29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94976.82</v>
      </c>
      <c r="G29" s="290">
        <f>'BASE DATOS'!AE28</f>
        <v>187976.82</v>
      </c>
      <c r="H29" s="290">
        <f>SUMIFS(Tabla35[Abonos],Tabla35[Lote],B29,Tabla35[Cliente],C29,Tabla35[Concepto],"ABONO")</f>
        <v>93000</v>
      </c>
      <c r="I29" s="293">
        <f t="shared" si="2"/>
        <v>94976.82</v>
      </c>
      <c r="J29" s="290">
        <f>'BASE DATOS'!AF28</f>
        <v>0</v>
      </c>
      <c r="K29" s="290">
        <f>SUMIFS(Tabla35[Abonos],Tabla35[Lote],B29,Tabla35[Cliente],C29,Tabla35[Concepto],"MULTIBANK")</f>
        <v>0</v>
      </c>
      <c r="L29" s="293">
        <f t="shared" si="7"/>
        <v>0</v>
      </c>
      <c r="M29" s="290">
        <f>'BASE DATOS'!AV28</f>
        <v>0</v>
      </c>
      <c r="N29" s="290">
        <f>SUMIFS(Tabla35[Abonos],Tabla35[Lote],B29,Tabla35[Cliente],C29,Tabla35[Concepto],"GASTOS LEGALES")</f>
        <v>0</v>
      </c>
      <c r="O29" s="293">
        <f t="shared" si="8"/>
        <v>0</v>
      </c>
      <c r="P29" s="290">
        <v>500</v>
      </c>
      <c r="Q29" s="290">
        <f>SUMIFS(Tabla35[Abonos],Tabla35[Lote],B29,Tabla35[Cliente],C29,Tabla35[Concepto],"FONDO ADM")</f>
        <v>500</v>
      </c>
      <c r="R29" s="293">
        <f t="shared" si="9"/>
        <v>0</v>
      </c>
      <c r="S29" s="290">
        <v>300</v>
      </c>
      <c r="T29" s="290">
        <f>SUMIFS(Tabla35[Abonos],Tabla35[Lote],B29,Tabla35[Cliente],C29,Tabla35[Concepto],"MEDIDOR")</f>
        <v>300</v>
      </c>
      <c r="U29" s="293">
        <f t="shared" si="10"/>
        <v>0</v>
      </c>
      <c r="V29" s="290"/>
      <c r="W29" s="290">
        <f>SUMIFS(Tabla35[Abonos],Tabla35[Lote],B29,Tabla35[Cliente],C29,Tabla35[Concepto],"PENALIZACIÓN")</f>
        <v>0</v>
      </c>
      <c r="X29" s="290">
        <f t="shared" si="1"/>
        <v>0</v>
      </c>
    </row>
    <row r="30" spans="2:24" ht="14" customHeight="1">
      <c r="B30" s="424" t="s">
        <v>53</v>
      </c>
      <c r="C30" s="425">
        <f>'BASE DATOS'!C29</f>
        <v>0</v>
      </c>
      <c r="D30" s="290">
        <f>'BASE DATOS'!AA29</f>
        <v>198850</v>
      </c>
      <c r="E30" s="299">
        <f t="shared" si="0"/>
        <v>198850</v>
      </c>
      <c r="F30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199650</v>
      </c>
      <c r="G30" s="290">
        <f>'BASE DATOS'!AE29</f>
        <v>198850</v>
      </c>
      <c r="H30" s="290">
        <f>SUMIFS(Tabla35[Abonos],Tabla35[Lote],B30,Tabla35[Cliente],C30,Tabla35[Concepto],"ABONO")</f>
        <v>0</v>
      </c>
      <c r="I30" s="293">
        <f t="shared" si="2"/>
        <v>198850</v>
      </c>
      <c r="J30" s="290">
        <f>'BASE DATOS'!AF29</f>
        <v>0</v>
      </c>
      <c r="K30" s="290">
        <f>SUMIFS(Tabla35[Abonos],Tabla35[Lote],B30,Tabla35[Cliente],C30,Tabla35[Concepto],"MULTIBANK")</f>
        <v>0</v>
      </c>
      <c r="L30" s="293">
        <f t="shared" si="7"/>
        <v>0</v>
      </c>
      <c r="M30" s="290">
        <f>'BASE DATOS'!AV29</f>
        <v>0</v>
      </c>
      <c r="N30" s="290">
        <f>SUMIFS(Tabla35[Abonos],Tabla35[Lote],B30,Tabla35[Cliente],C30,Tabla35[Concepto],"GASTOS LEGALES")</f>
        <v>0</v>
      </c>
      <c r="O30" s="293">
        <f t="shared" si="8"/>
        <v>0</v>
      </c>
      <c r="P30" s="290">
        <v>500</v>
      </c>
      <c r="Q30" s="290">
        <f>SUMIFS(Tabla35[Abonos],Tabla35[Lote],B30,Tabla35[Cliente],C30,Tabla35[Concepto],"FONDO ADM")</f>
        <v>0</v>
      </c>
      <c r="R30" s="293">
        <f t="shared" si="9"/>
        <v>500</v>
      </c>
      <c r="S30" s="290">
        <v>300</v>
      </c>
      <c r="T30" s="290">
        <f>SUMIFS(Tabla35[Abonos],Tabla35[Lote],B30,Tabla35[Cliente],C30,Tabla35[Concepto],"MEDIDOR")</f>
        <v>0</v>
      </c>
      <c r="U30" s="293">
        <f t="shared" si="10"/>
        <v>300</v>
      </c>
      <c r="V30" s="290"/>
      <c r="W30" s="290">
        <f>SUMIFS(Tabla35[Abonos],Tabla35[Lote],B30,Tabla35[Cliente],C30,Tabla35[Concepto],"PENALIZACIÓN")</f>
        <v>0</v>
      </c>
      <c r="X30" s="290">
        <f t="shared" si="1"/>
        <v>0</v>
      </c>
    </row>
    <row r="31" spans="2:24" ht="14" customHeight="1">
      <c r="B31" s="424" t="s">
        <v>54</v>
      </c>
      <c r="C31" s="425" t="str">
        <f>'BASE DATOS'!C30</f>
        <v>YANIRED GONZALEZ ALVARADO DE ADAMS</v>
      </c>
      <c r="D31" s="290">
        <f>'BASE DATOS'!AA30</f>
        <v>187000</v>
      </c>
      <c r="E31" s="299">
        <f t="shared" si="0"/>
        <v>0</v>
      </c>
      <c r="F31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31" s="290">
        <f>'BASE DATOS'!AE30</f>
        <v>56100.000000000015</v>
      </c>
      <c r="H31" s="290">
        <f>SUMIFS(Tabla35[Abonos],Tabla35[Lote],B31,Tabla35[Cliente],C31,Tabla35[Concepto],"ABONO")</f>
        <v>56100</v>
      </c>
      <c r="I31" s="293">
        <f t="shared" si="2"/>
        <v>0</v>
      </c>
      <c r="J31" s="290">
        <f>'BASE DATOS'!AF30</f>
        <v>130899.99999999999</v>
      </c>
      <c r="K31" s="290">
        <f>SUMIFS(Tabla35[Abonos],Tabla35[Lote],B31,Tabla35[Cliente],C31,Tabla35[Concepto],"MULTIBANK")</f>
        <v>130900</v>
      </c>
      <c r="L31" s="293">
        <f t="shared" si="7"/>
        <v>0</v>
      </c>
      <c r="M31" s="290">
        <f>'BASE DATOS'!AV30</f>
        <v>1330</v>
      </c>
      <c r="N31" s="290">
        <f>SUMIFS(Tabla35[Abonos],Tabla35[Lote],B31,Tabla35[Cliente],C31,Tabla35[Concepto],"GASTOS LEGALES")</f>
        <v>1330</v>
      </c>
      <c r="O31" s="293">
        <f t="shared" si="8"/>
        <v>0</v>
      </c>
      <c r="P31" s="290">
        <v>500</v>
      </c>
      <c r="Q31" s="290">
        <f>SUMIFS(Tabla35[Abonos],Tabla35[Lote],B31,Tabla35[Cliente],C31,Tabla35[Concepto],"FONDO ADM")</f>
        <v>500</v>
      </c>
      <c r="R31" s="293">
        <f t="shared" si="9"/>
        <v>0</v>
      </c>
      <c r="S31" s="290">
        <v>300</v>
      </c>
      <c r="T31" s="290">
        <f>SUMIFS(Tabla35[Abonos],Tabla35[Lote],B31,Tabla35[Cliente],C31,Tabla35[Concepto],"MEDIDOR")</f>
        <v>300</v>
      </c>
      <c r="U31" s="293">
        <f t="shared" si="10"/>
        <v>0</v>
      </c>
      <c r="V31" s="290"/>
      <c r="W31" s="290">
        <f>SUMIFS(Tabla35[Abonos],Tabla35[Lote],B31,Tabla35[Cliente],C31,Tabla35[Concepto],"PENALIZACIÓN")</f>
        <v>0</v>
      </c>
      <c r="X31" s="290">
        <f t="shared" si="1"/>
        <v>0</v>
      </c>
    </row>
    <row r="32" spans="2:24" ht="14" customHeight="1">
      <c r="B32" s="424" t="s">
        <v>55</v>
      </c>
      <c r="C32" s="425" t="str">
        <f>'BASE DATOS'!C31</f>
        <v>NORA MORENO</v>
      </c>
      <c r="D32" s="290">
        <f>'BASE DATOS'!AA31</f>
        <v>185000</v>
      </c>
      <c r="E32" s="299">
        <f t="shared" si="0"/>
        <v>5503.630000000001</v>
      </c>
      <c r="F32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5503.630000000001</v>
      </c>
      <c r="G32" s="290">
        <f>'BASE DATOS'!AE31</f>
        <v>31000</v>
      </c>
      <c r="H32" s="290">
        <f>SUMIFS(Tabla35[Abonos],Tabla35[Lote],B32,Tabla35[Cliente],C32,Tabla35[Concepto],"ABONO")</f>
        <v>25496.37</v>
      </c>
      <c r="I32" s="293">
        <f t="shared" si="2"/>
        <v>5503.630000000001</v>
      </c>
      <c r="J32" s="290">
        <f>'BASE DATOS'!AF31</f>
        <v>154000</v>
      </c>
      <c r="K32" s="290">
        <f>SUMIFS(Tabla35[Abonos],Tabla35[Lote],B32,Tabla35[Cliente],C32,Tabla35[Concepto],"MULTIBANK")</f>
        <v>154000</v>
      </c>
      <c r="L32" s="293">
        <f t="shared" si="7"/>
        <v>0</v>
      </c>
      <c r="M32" s="290">
        <v>0</v>
      </c>
      <c r="N32" s="290">
        <f>SUMIFS(Tabla35[Abonos],Tabla35[Lote],B32,Tabla35[Cliente],C32,Tabla35[Concepto],"GASTOS LEGALES")</f>
        <v>0</v>
      </c>
      <c r="O32" s="293">
        <f t="shared" si="8"/>
        <v>0</v>
      </c>
      <c r="P32" s="290">
        <v>500</v>
      </c>
      <c r="Q32" s="290">
        <f>SUMIFS(Tabla35[Abonos],Tabla35[Lote],B32,Tabla35[Cliente],C32,Tabla35[Concepto],"FONDO ADM")</f>
        <v>500</v>
      </c>
      <c r="R32" s="293">
        <f t="shared" si="9"/>
        <v>0</v>
      </c>
      <c r="S32" s="290">
        <v>300</v>
      </c>
      <c r="T32" s="290">
        <f>SUMIFS(Tabla35[Abonos],Tabla35[Lote],B32,Tabla35[Cliente],C32,Tabla35[Concepto],"MEDIDOR")</f>
        <v>300</v>
      </c>
      <c r="U32" s="293">
        <f t="shared" si="10"/>
        <v>0</v>
      </c>
      <c r="V32" s="290"/>
      <c r="W32" s="290">
        <f>SUMIFS(Tabla35[Abonos],Tabla35[Lote],B32,Tabla35[Cliente],C32,Tabla35[Concepto],"PENALIZACIÓN")</f>
        <v>0</v>
      </c>
      <c r="X32" s="290">
        <f t="shared" si="1"/>
        <v>0</v>
      </c>
    </row>
    <row r="33" spans="2:24" ht="14" customHeight="1">
      <c r="B33" s="424" t="s">
        <v>56</v>
      </c>
      <c r="C33" s="425" t="str">
        <f>'BASE DATOS'!C32</f>
        <v>SHAROMAY OSMA</v>
      </c>
      <c r="D33" s="290">
        <f>'BASE DATOS'!AA32</f>
        <v>180000</v>
      </c>
      <c r="E33" s="299">
        <f t="shared" si="0"/>
        <v>0</v>
      </c>
      <c r="F33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33" s="290">
        <f>'BASE DATOS'!AE32</f>
        <v>27000</v>
      </c>
      <c r="H33" s="290">
        <f>SUMIFS(Tabla35[Abonos],Tabla35[Lote],B33,Tabla35[Cliente],C33,Tabla35[Concepto],"ABONO")</f>
        <v>27000</v>
      </c>
      <c r="I33" s="293">
        <f t="shared" si="2"/>
        <v>0</v>
      </c>
      <c r="J33" s="290">
        <f>'BASE DATOS'!AF32</f>
        <v>153000</v>
      </c>
      <c r="K33" s="290">
        <f>SUMIFS(Tabla35[Abonos],Tabla35[Lote],B33,Tabla35[Cliente],C33,Tabla35[Concepto],"MULTIBANK")</f>
        <v>153000</v>
      </c>
      <c r="L33" s="293">
        <f t="shared" si="7"/>
        <v>0</v>
      </c>
      <c r="M33" s="290">
        <v>0</v>
      </c>
      <c r="N33" s="290">
        <f>SUMIFS(Tabla35[Abonos],Tabla35[Lote],B33,Tabla35[Cliente],C33,Tabla35[Concepto],"GASTOS LEGALES")</f>
        <v>0</v>
      </c>
      <c r="O33" s="293">
        <f t="shared" si="8"/>
        <v>0</v>
      </c>
      <c r="P33" s="290">
        <v>500</v>
      </c>
      <c r="Q33" s="290">
        <f>SUMIFS(Tabla35[Abonos],Tabla35[Lote],B33,Tabla35[Cliente],C33,Tabla35[Concepto],"FONDO ADM")</f>
        <v>500</v>
      </c>
      <c r="R33" s="293">
        <f t="shared" si="9"/>
        <v>0</v>
      </c>
      <c r="S33" s="290">
        <v>300</v>
      </c>
      <c r="T33" s="290">
        <f>SUMIFS(Tabla35[Abonos],Tabla35[Lote],B33,Tabla35[Cliente],C33,Tabla35[Concepto],"MEDIDOR")</f>
        <v>300</v>
      </c>
      <c r="U33" s="293">
        <f t="shared" si="10"/>
        <v>0</v>
      </c>
      <c r="V33" s="290"/>
      <c r="W33" s="290">
        <f>SUMIFS(Tabla35[Abonos],Tabla35[Lote],B33,Tabla35[Cliente],C33,Tabla35[Concepto],"PENALIZACIÓN")</f>
        <v>0</v>
      </c>
      <c r="X33" s="290">
        <f t="shared" si="1"/>
        <v>0</v>
      </c>
    </row>
    <row r="34" spans="2:24" ht="14" customHeight="1">
      <c r="B34" s="424" t="s">
        <v>59</v>
      </c>
      <c r="C34" s="425" t="str">
        <f>'BASE DATOS'!C33</f>
        <v>GERMAN SANCHEZ</v>
      </c>
      <c r="D34" s="290">
        <f>'BASE DATOS'!AA33</f>
        <v>185000</v>
      </c>
      <c r="E34" s="299">
        <f t="shared" si="0"/>
        <v>0</v>
      </c>
      <c r="F34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34" s="290">
        <f>'BASE DATOS'!AE33</f>
        <v>31000</v>
      </c>
      <c r="H34" s="290">
        <f>SUMIFS(Tabla35[Abonos],Tabla35[Lote],B34,Tabla35[Cliente],C34,Tabla35[Concepto],"ABONO")</f>
        <v>31000</v>
      </c>
      <c r="I34" s="293">
        <f t="shared" si="2"/>
        <v>0</v>
      </c>
      <c r="J34" s="290">
        <f>'BASE DATOS'!AF33</f>
        <v>154000</v>
      </c>
      <c r="K34" s="290">
        <f>SUMIFS(Tabla35[Abonos],Tabla35[Lote],B34,Tabla35[Cliente],C34,Tabla35[Concepto],"MULTIBANK")</f>
        <v>154000</v>
      </c>
      <c r="L34" s="293">
        <f t="shared" si="7"/>
        <v>0</v>
      </c>
      <c r="M34" s="290">
        <v>0</v>
      </c>
      <c r="N34" s="290">
        <f>SUMIFS(Tabla35[Abonos],Tabla35[Lote],B34,Tabla35[Cliente],C34,Tabla35[Concepto],"GASTOS LEGALES")</f>
        <v>0</v>
      </c>
      <c r="O34" s="293">
        <f t="shared" si="8"/>
        <v>0</v>
      </c>
      <c r="P34" s="290">
        <v>500</v>
      </c>
      <c r="Q34" s="290">
        <f>SUMIFS(Tabla35[Abonos],Tabla35[Lote],B34,Tabla35[Cliente],C34,Tabla35[Concepto],"FONDO ADM")</f>
        <v>500</v>
      </c>
      <c r="R34" s="293">
        <f t="shared" si="9"/>
        <v>0</v>
      </c>
      <c r="S34" s="290">
        <v>300</v>
      </c>
      <c r="T34" s="290">
        <f>SUMIFS(Tabla35[Abonos],Tabla35[Lote],B34,Tabla35[Cliente],C34,Tabla35[Concepto],"MEDIDOR")</f>
        <v>300</v>
      </c>
      <c r="U34" s="293">
        <f t="shared" si="10"/>
        <v>0</v>
      </c>
      <c r="V34" s="290"/>
      <c r="W34" s="290">
        <f>SUMIFS(Tabla35[Abonos],Tabla35[Lote],B34,Tabla35[Cliente],C34,Tabla35[Concepto],"PENALIZACIÓN")</f>
        <v>0</v>
      </c>
      <c r="X34" s="290">
        <f t="shared" si="1"/>
        <v>0</v>
      </c>
    </row>
    <row r="35" spans="2:24" ht="14" customHeight="1">
      <c r="B35" s="424" t="s">
        <v>60</v>
      </c>
      <c r="C35" s="425" t="str">
        <f>'BASE DATOS'!C34</f>
        <v>MELINDA MOORE</v>
      </c>
      <c r="D35" s="290">
        <f>'BASE DATOS'!AA34</f>
        <v>150000</v>
      </c>
      <c r="E35" s="299">
        <f t="shared" ref="E35" si="11">I35+L35</f>
        <v>0</v>
      </c>
      <c r="F35" s="290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10</v>
      </c>
      <c r="G35" s="299">
        <f>'BASE DATOS'!AE34</f>
        <v>45000</v>
      </c>
      <c r="H35" s="290">
        <f>SUMIFS(Tabla35[Abonos],Tabla35[Lote],B35,Tabla35[Cliente],C35,Tabla35[Concepto],"ABONO")</f>
        <v>45000</v>
      </c>
      <c r="I35" s="293">
        <f t="shared" si="2"/>
        <v>0</v>
      </c>
      <c r="J35" s="290">
        <f>'BASE DATOS'!AF34</f>
        <v>105000</v>
      </c>
      <c r="K35" s="290">
        <f>SUMIFS(Tabla35[Abonos],Tabla35[Lote],B35,Tabla35[Cliente],C35,Tabla35[Concepto],"MULTIBANK")</f>
        <v>105000</v>
      </c>
      <c r="L35" s="293">
        <f t="shared" si="7"/>
        <v>0</v>
      </c>
      <c r="M35" s="290">
        <f>'BASE DATOS'!AV34</f>
        <v>950</v>
      </c>
      <c r="N35" s="290">
        <f>SUMIFS(Tabla35[Abonos],Tabla35[Lote],B35,Tabla35[Cliente],C35,Tabla35[Concepto],"GASTOS LEGALES")</f>
        <v>950</v>
      </c>
      <c r="O35" s="293">
        <f t="shared" si="8"/>
        <v>0</v>
      </c>
      <c r="P35" s="290">
        <v>500</v>
      </c>
      <c r="Q35" s="290">
        <f>SUMIFS(Tabla35[Abonos],Tabla35[Lote],B35,Tabla35[Cliente],C35,Tabla35[Concepto],"FONDO ADM")</f>
        <v>490</v>
      </c>
      <c r="R35" s="293">
        <f t="shared" si="9"/>
        <v>10</v>
      </c>
      <c r="S35" s="290">
        <v>300</v>
      </c>
      <c r="T35" s="290">
        <f>SUMIFS(Tabla35[Abonos],Tabla35[Lote],B35,Tabla35[Cliente],C35,Tabla35[Concepto],"MEDIDOR")</f>
        <v>300</v>
      </c>
      <c r="U35" s="293">
        <f t="shared" si="10"/>
        <v>0</v>
      </c>
      <c r="V35" s="290"/>
      <c r="W35" s="290">
        <f>SUMIFS(Tabla35[Abonos],Tabla35[Lote],B35,Tabla35[Cliente],C35,Tabla35[Concepto],"PENALIZACIÓN")</f>
        <v>0</v>
      </c>
      <c r="X35" s="290">
        <f t="shared" ref="X35:X60" si="12">V35-W35</f>
        <v>0</v>
      </c>
    </row>
    <row r="36" spans="2:24" ht="14" customHeight="1">
      <c r="B36" s="426" t="s">
        <v>61</v>
      </c>
      <c r="C36" s="427" t="str">
        <f>'BASE DATOS'!C35</f>
        <v>ALVARO MORENO</v>
      </c>
      <c r="D36" s="294">
        <f>'BASE DATOS'!AA35</f>
        <v>172500</v>
      </c>
      <c r="E36" s="298">
        <f t="shared" ref="E36:E59" si="13">I36+L36</f>
        <v>0</v>
      </c>
      <c r="F36" s="295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36" s="294">
        <f>'BASE DATOS'!AE35</f>
        <v>40000</v>
      </c>
      <c r="H36" s="294">
        <f>SUMIFS(Tabla35[Abonos],Tabla35[Lote],B36,Tabla35[Cliente],C36,Tabla35[Concepto],"ABONO")</f>
        <v>40000</v>
      </c>
      <c r="I36" s="295">
        <f t="shared" si="2"/>
        <v>0</v>
      </c>
      <c r="J36" s="294">
        <f>'BASE DATOS'!AF35</f>
        <v>132500</v>
      </c>
      <c r="K36" s="294">
        <f>SUMIFS(Tabla35[Abonos],Tabla35[Lote],B36,Tabla35[Cliente],C36,Tabla35[Concepto],"MULTIBANK")</f>
        <v>132500</v>
      </c>
      <c r="L36" s="295">
        <f t="shared" si="7"/>
        <v>0</v>
      </c>
      <c r="M36" s="294">
        <v>0</v>
      </c>
      <c r="N36" s="294">
        <f>SUMIFS(Tabla35[Abonos],Tabla35[Lote],B36,Tabla35[Cliente],C36,Tabla35[Concepto],"GASTOS LEGALES")</f>
        <v>0</v>
      </c>
      <c r="O36" s="295">
        <f t="shared" si="8"/>
        <v>0</v>
      </c>
      <c r="P36" s="298">
        <v>500</v>
      </c>
      <c r="Q36" s="294">
        <f>SUMIFS(Tabla35[Abonos],Tabla35[Lote],B36,Tabla35[Cliente],C36,Tabla35[Concepto],"FONDO ADM")</f>
        <v>500</v>
      </c>
      <c r="R36" s="295">
        <f t="shared" si="9"/>
        <v>0</v>
      </c>
      <c r="S36" s="294">
        <v>300</v>
      </c>
      <c r="T36" s="294">
        <f>SUMIFS(Tabla35[Abonos],Tabla35[Lote],B36,Tabla35[Cliente],C36,Tabla35[Concepto],"MEDIDOR")</f>
        <v>300</v>
      </c>
      <c r="U36" s="295">
        <f t="shared" si="10"/>
        <v>0</v>
      </c>
      <c r="V36" s="294"/>
      <c r="W36" s="294">
        <f>SUMIFS(Tabla35[Abonos],Tabla35[Lote],B36,Tabla35[Cliente],C36,Tabla35[Concepto],"PENALIZACIÓN")</f>
        <v>0</v>
      </c>
      <c r="X36" s="294">
        <f t="shared" si="12"/>
        <v>0</v>
      </c>
    </row>
    <row r="37" spans="2:24" ht="14" customHeight="1">
      <c r="B37" s="420" t="s">
        <v>63</v>
      </c>
      <c r="C37" s="421" t="str">
        <f>'BASE DATOS'!C36</f>
        <v>SIMON LEWIS CHAPELLE</v>
      </c>
      <c r="D37" s="291">
        <f>'BASE DATOS'!AA36</f>
        <v>202000</v>
      </c>
      <c r="E37" s="299">
        <f t="shared" si="13"/>
        <v>0</v>
      </c>
      <c r="F37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37" s="291">
        <f>'BASE DATOS'!AE36</f>
        <v>60000</v>
      </c>
      <c r="H37" s="291">
        <f>SUMIFS(Tabla35[Abonos],Tabla35[Lote],B37,Tabla35[Cliente],C37,Tabla35[Concepto],"ABONO")</f>
        <v>60000</v>
      </c>
      <c r="I37" s="292">
        <f t="shared" si="2"/>
        <v>0</v>
      </c>
      <c r="J37" s="291">
        <f>'BASE DATOS'!AF36</f>
        <v>142000</v>
      </c>
      <c r="K37" s="291">
        <f>SUMIFS(Tabla35[Abonos],Tabla35[Lote],B37,Tabla35[Cliente],C37,Tabla35[Concepto],"MULTIBANK")</f>
        <v>142000</v>
      </c>
      <c r="L37" s="292">
        <f t="shared" si="7"/>
        <v>0</v>
      </c>
      <c r="M37" s="291">
        <f>'BASE DATOS'!AV36</f>
        <v>2070</v>
      </c>
      <c r="N37" s="291">
        <f>SUMIFS(Tabla35[Abonos],Tabla35[Lote],B37,Tabla35[Cliente],C37,Tabla35[Concepto],"GASTOS LEGALES")</f>
        <v>2070</v>
      </c>
      <c r="O37" s="292">
        <f t="shared" si="8"/>
        <v>0</v>
      </c>
      <c r="P37" s="290">
        <v>500</v>
      </c>
      <c r="Q37" s="291">
        <f>SUMIFS(Tabla35[Abonos],Tabla35[Lote],B37,Tabla35[Cliente],C37,Tabla35[Concepto],"FONDO ADM")</f>
        <v>500</v>
      </c>
      <c r="R37" s="292">
        <f t="shared" si="9"/>
        <v>0</v>
      </c>
      <c r="S37" s="291">
        <v>300</v>
      </c>
      <c r="T37" s="291">
        <f>SUMIFS(Tabla35[Abonos],Tabla35[Lote],B37,Tabla35[Cliente],C37,Tabla35[Concepto],"MEDIDOR")</f>
        <v>300</v>
      </c>
      <c r="U37" s="292">
        <f t="shared" si="10"/>
        <v>0</v>
      </c>
      <c r="V37" s="291"/>
      <c r="W37" s="290">
        <f>SUMIFS(Tabla35[Abonos],Tabla35[Lote],B37,Tabla35[Cliente],C37,Tabla35[Concepto],"PENALIZACIÓN")</f>
        <v>0</v>
      </c>
      <c r="X37" s="291">
        <f t="shared" si="12"/>
        <v>0</v>
      </c>
    </row>
    <row r="38" spans="2:24" ht="14" customHeight="1">
      <c r="B38" s="424" t="s">
        <v>66</v>
      </c>
      <c r="C38" s="425" t="str">
        <f>'BASE DATOS'!C37</f>
        <v>RUTH WINSLOW</v>
      </c>
      <c r="D38" s="290">
        <f>'BASE DATOS'!AA37</f>
        <v>137862</v>
      </c>
      <c r="E38" s="299">
        <f t="shared" si="13"/>
        <v>25.000000000007276</v>
      </c>
      <c r="F38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45.000000000007276</v>
      </c>
      <c r="G38" s="290">
        <f>'BASE DATOS'!AE37</f>
        <v>41358.600000000006</v>
      </c>
      <c r="H38" s="290">
        <f>SUMIFS(Tabla35[Abonos],Tabla35[Lote],B38,Tabla35[Cliente],C38,Tabla35[Concepto],"ABONO")</f>
        <v>41333.599999999999</v>
      </c>
      <c r="I38" s="293">
        <f t="shared" si="2"/>
        <v>25.000000000007276</v>
      </c>
      <c r="J38" s="290">
        <f>'BASE DATOS'!AF37</f>
        <v>96503.4</v>
      </c>
      <c r="K38" s="290">
        <f>SUMIFS(Tabla35[Abonos],Tabla35[Lote],B38,Tabla35[Cliente],C38,Tabla35[Concepto],"MULTIBANK")</f>
        <v>96503.4</v>
      </c>
      <c r="L38" s="293">
        <f t="shared" si="7"/>
        <v>0</v>
      </c>
      <c r="M38" s="290">
        <f>'BASE DATOS'!AV37</f>
        <v>1725</v>
      </c>
      <c r="N38" s="290">
        <f>SUMIFS(Tabla35[Abonos],Tabla35[Lote],B38,Tabla35[Cliente],C38,Tabla35[Concepto],"GASTOS LEGALES")</f>
        <v>1705</v>
      </c>
      <c r="O38" s="293">
        <f t="shared" si="8"/>
        <v>20</v>
      </c>
      <c r="P38" s="290">
        <v>500</v>
      </c>
      <c r="Q38" s="290">
        <f>SUMIFS(Tabla35[Abonos],Tabla35[Lote],B38,Tabla35[Cliente],C38,Tabla35[Concepto],"FONDO ADM")</f>
        <v>500</v>
      </c>
      <c r="R38" s="293">
        <f t="shared" si="9"/>
        <v>0</v>
      </c>
      <c r="S38" s="290">
        <v>300</v>
      </c>
      <c r="T38" s="290">
        <f>SUMIFS(Tabla35[Abonos],Tabla35[Lote],B38,Tabla35[Cliente],C38,Tabla35[Concepto],"MEDIDOR")</f>
        <v>300</v>
      </c>
      <c r="U38" s="293">
        <f t="shared" si="10"/>
        <v>0</v>
      </c>
      <c r="V38" s="290"/>
      <c r="W38" s="290">
        <f>SUMIFS(Tabla35[Abonos],Tabla35[Lote],B38,Tabla35[Cliente],C38,Tabla35[Concepto],"PENALIZACIÓN")</f>
        <v>0</v>
      </c>
      <c r="X38" s="290">
        <f t="shared" si="12"/>
        <v>0</v>
      </c>
    </row>
    <row r="39" spans="2:24" ht="14" customHeight="1">
      <c r="B39" s="424" t="s">
        <v>67</v>
      </c>
      <c r="C39" s="425" t="str">
        <f>'BASE DATOS'!C38</f>
        <v>JOSE ALEJANDRO DE LEON</v>
      </c>
      <c r="D39" s="290">
        <f>'BASE DATOS'!AA38</f>
        <v>179900</v>
      </c>
      <c r="E39" s="299">
        <f t="shared" si="13"/>
        <v>0</v>
      </c>
      <c r="F39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300</v>
      </c>
      <c r="G39" s="290">
        <f>'BASE DATOS'!AE38</f>
        <v>179900</v>
      </c>
      <c r="H39" s="290">
        <f>SUMIFS(Tabla35[Abonos],Tabla35[Lote],B39,Tabla35[Cliente],C39,Tabla35[Concepto],"ABONO")</f>
        <v>179900</v>
      </c>
      <c r="I39" s="293">
        <f t="shared" si="2"/>
        <v>0</v>
      </c>
      <c r="J39" s="290">
        <f>'BASE DATOS'!AF38</f>
        <v>0</v>
      </c>
      <c r="K39" s="290">
        <f>SUMIFS(Tabla35[Abonos],Tabla35[Lote],B39,Tabla35[Cliente],C39,Tabla35[Concepto],"MULTIBANK")</f>
        <v>0</v>
      </c>
      <c r="L39" s="293">
        <f t="shared" si="7"/>
        <v>0</v>
      </c>
      <c r="M39" s="290">
        <f>'BASE DATOS'!AV38</f>
        <v>1750</v>
      </c>
      <c r="N39" s="290">
        <f>SUMIFS(Tabla35[Abonos],Tabla35[Lote],B39,Tabla35[Cliente],C39,Tabla35[Concepto],"GASTOS LEGALES")</f>
        <v>1750</v>
      </c>
      <c r="O39" s="293">
        <f t="shared" si="8"/>
        <v>0</v>
      </c>
      <c r="P39" s="290">
        <v>500</v>
      </c>
      <c r="Q39" s="290">
        <f>SUMIFS(Tabla35[Abonos],Tabla35[Lote],B39,Tabla35[Cliente],C39,Tabla35[Concepto],"FONDO ADM")</f>
        <v>500</v>
      </c>
      <c r="R39" s="293">
        <f t="shared" si="9"/>
        <v>0</v>
      </c>
      <c r="S39" s="290">
        <v>300</v>
      </c>
      <c r="T39" s="290">
        <f>SUMIFS(Tabla35[Abonos],Tabla35[Lote],B39,Tabla35[Cliente],C39,Tabla35[Concepto],"MEDIDOR")</f>
        <v>0</v>
      </c>
      <c r="U39" s="293">
        <f t="shared" si="10"/>
        <v>300</v>
      </c>
      <c r="V39" s="290"/>
      <c r="W39" s="290">
        <f>SUMIFS(Tabla35[Abonos],Tabla35[Lote],B39,Tabla35[Cliente],C39,Tabla35[Concepto],"PENALIZACIÓN")</f>
        <v>0</v>
      </c>
      <c r="X39" s="290">
        <f t="shared" si="12"/>
        <v>0</v>
      </c>
    </row>
    <row r="40" spans="2:24" ht="14" customHeight="1">
      <c r="B40" s="424" t="s">
        <v>68</v>
      </c>
      <c r="C40" s="425" t="str">
        <f>'BASE DATOS'!C39</f>
        <v>MELVA BELTRAN</v>
      </c>
      <c r="D40" s="290">
        <f>'BASE DATOS'!AA39</f>
        <v>184000</v>
      </c>
      <c r="E40" s="299">
        <f t="shared" si="13"/>
        <v>171000</v>
      </c>
      <c r="F40" s="293" t="e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#VALUE!</v>
      </c>
      <c r="G40" s="290">
        <f>'BASE DATOS'!AE39</f>
        <v>184000</v>
      </c>
      <c r="H40" s="290">
        <f>SUMIFS(Tabla35[Abonos],Tabla35[Lote],B40,Tabla35[Cliente],C40,Tabla35[Concepto],"ABONO")</f>
        <v>13000</v>
      </c>
      <c r="I40" s="293">
        <f t="shared" si="2"/>
        <v>171000</v>
      </c>
      <c r="J40" s="290">
        <f>'BASE DATOS'!AF39</f>
        <v>0</v>
      </c>
      <c r="K40" s="290">
        <f>SUMIFS(Tabla35[Abonos],Tabla35[Lote],B40,Tabla35[Cliente],C40,Tabla35[Concepto],"MULTIBANK")</f>
        <v>0</v>
      </c>
      <c r="L40" s="293">
        <f t="shared" si="7"/>
        <v>0</v>
      </c>
      <c r="M40" s="290" t="str">
        <f>'BASE DATOS'!AV39</f>
        <v>BANCO</v>
      </c>
      <c r="N40" s="290">
        <f>SUMIFS(Tabla35[Abonos],Tabla35[Lote],B40,Tabla35[Cliente],C40,Tabla35[Concepto],"GASTOS LEGALES")</f>
        <v>0</v>
      </c>
      <c r="O40" s="293" t="e">
        <f t="shared" si="8"/>
        <v>#VALUE!</v>
      </c>
      <c r="P40" s="290">
        <v>500</v>
      </c>
      <c r="Q40" s="290">
        <f>SUMIFS(Tabla35[Abonos],Tabla35[Lote],B40,Tabla35[Cliente],C40,Tabla35[Concepto],"FONDO ADM")</f>
        <v>500</v>
      </c>
      <c r="R40" s="293">
        <f t="shared" si="9"/>
        <v>0</v>
      </c>
      <c r="S40" s="290">
        <v>300</v>
      </c>
      <c r="T40" s="290">
        <f>SUMIFS(Tabla35[Abonos],Tabla35[Lote],B40,Tabla35[Cliente],C40,Tabla35[Concepto],"MEDIDOR")</f>
        <v>300</v>
      </c>
      <c r="U40" s="293">
        <f t="shared" si="10"/>
        <v>0</v>
      </c>
      <c r="V40" s="290"/>
      <c r="W40" s="290">
        <f>SUMIFS(Tabla35[Abonos],Tabla35[Lote],B40,Tabla35[Cliente],C40,Tabla35[Concepto],"PENALIZACIÓN")</f>
        <v>0</v>
      </c>
      <c r="X40" s="290">
        <f t="shared" si="12"/>
        <v>0</v>
      </c>
    </row>
    <row r="41" spans="2:24" ht="14" customHeight="1">
      <c r="B41" s="424" t="s">
        <v>69</v>
      </c>
      <c r="C41" s="425" t="str">
        <f>'BASE DATOS'!C40</f>
        <v>ISABELLE BELANGER/DANIEL CARON</v>
      </c>
      <c r="D41" s="290">
        <f>'BASE DATOS'!AA40</f>
        <v>194000</v>
      </c>
      <c r="E41" s="299">
        <f t="shared" si="13"/>
        <v>121932.1</v>
      </c>
      <c r="F41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125688.65000000001</v>
      </c>
      <c r="G41" s="290">
        <f>'BASE DATOS'!AE40</f>
        <v>194000</v>
      </c>
      <c r="H41" s="290">
        <f>SUMIFS(Tabla35[Abonos],Tabla35[Lote],B41,Tabla35[Cliente],C41,Tabla35[Concepto],"ABONO")</f>
        <v>72067.899999999994</v>
      </c>
      <c r="I41" s="293">
        <f t="shared" si="2"/>
        <v>121932.1</v>
      </c>
      <c r="J41" s="290">
        <f>'BASE DATOS'!AF40</f>
        <v>0</v>
      </c>
      <c r="K41" s="290">
        <f>SUMIFS(Tabla35[Abonos],Tabla35[Lote],B41,Tabla35[Cliente],C41,Tabla35[Concepto],"MULTIBANK")</f>
        <v>0</v>
      </c>
      <c r="L41" s="293">
        <f t="shared" si="7"/>
        <v>0</v>
      </c>
      <c r="M41" s="290">
        <f>'BASE DATOS'!AV40</f>
        <v>2956.55</v>
      </c>
      <c r="N41" s="290">
        <f>SUMIFS(Tabla35[Abonos],Tabla35[Lote],B41,Tabla35[Cliente],C41,Tabla35[Concepto],"GASTOS LEGALES")</f>
        <v>0</v>
      </c>
      <c r="O41" s="293">
        <f t="shared" si="8"/>
        <v>2956.55</v>
      </c>
      <c r="P41" s="290">
        <v>500</v>
      </c>
      <c r="Q41" s="290">
        <f>SUMIFS(Tabla35[Abonos],Tabla35[Lote],B41,Tabla35[Cliente],C41,Tabla35[Concepto],"FONDO ADM")</f>
        <v>0</v>
      </c>
      <c r="R41" s="293">
        <f t="shared" si="9"/>
        <v>500</v>
      </c>
      <c r="S41" s="290">
        <v>300</v>
      </c>
      <c r="T41" s="290">
        <f>SUMIFS(Tabla35[Abonos],Tabla35[Lote],B41,Tabla35[Cliente],C41,Tabla35[Concepto],"MEDIDOR")</f>
        <v>0</v>
      </c>
      <c r="U41" s="293">
        <f t="shared" si="10"/>
        <v>300</v>
      </c>
      <c r="V41" s="290"/>
      <c r="W41" s="290">
        <f>SUMIFS(Tabla35[Abonos],Tabla35[Lote],B41,Tabla35[Cliente],C41,Tabla35[Concepto],"PENALIZACIÓN")</f>
        <v>0</v>
      </c>
      <c r="X41" s="290">
        <f t="shared" si="12"/>
        <v>0</v>
      </c>
    </row>
    <row r="42" spans="2:24" ht="14" customHeight="1">
      <c r="B42" s="424" t="s">
        <v>70</v>
      </c>
      <c r="C42" s="425" t="str">
        <f>'BASE DATOS'!C41</f>
        <v>DARKO VASIC Y DANIEL KRAUSKOPF</v>
      </c>
      <c r="D42" s="290">
        <f>'BASE DATOS'!AA41</f>
        <v>204000</v>
      </c>
      <c r="E42" s="299">
        <f t="shared" si="13"/>
        <v>132610</v>
      </c>
      <c r="F42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132960.33000000002</v>
      </c>
      <c r="G42" s="290">
        <f>'BASE DATOS'!AE41</f>
        <v>204000</v>
      </c>
      <c r="H42" s="290">
        <f>SUMIFS(Tabla35[Abonos],Tabla35[Lote],B42,Tabla35[Cliente],C42,Tabla35[Concepto],"ABONO")</f>
        <v>71390</v>
      </c>
      <c r="I42" s="293">
        <f t="shared" si="2"/>
        <v>132610</v>
      </c>
      <c r="J42" s="290">
        <f>'BASE DATOS'!AF41</f>
        <v>0</v>
      </c>
      <c r="K42" s="290">
        <f>SUMIFS(Tabla35[Abonos],Tabla35[Lote],B42,Tabla35[Cliente],C42,Tabla35[Concepto],"MULTIBANK")</f>
        <v>0</v>
      </c>
      <c r="L42" s="293">
        <f t="shared" si="7"/>
        <v>0</v>
      </c>
      <c r="M42" s="290">
        <f>'BASE DATOS'!AV41</f>
        <v>2966</v>
      </c>
      <c r="N42" s="290">
        <f>SUMIFS(Tabla35[Abonos],Tabla35[Lote],B42,Tabla35[Cliente],C42,Tabla35[Concepto],"GASTOS LEGALES")</f>
        <v>2923.55</v>
      </c>
      <c r="O42" s="293">
        <f t="shared" si="8"/>
        <v>42.449999999999818</v>
      </c>
      <c r="P42" s="290">
        <v>500</v>
      </c>
      <c r="Q42" s="290">
        <f>SUMIFS(Tabla35[Abonos],Tabla35[Lote],B42,Tabla35[Cliente],C42,Tabla35[Concepto],"FONDO ADM")</f>
        <v>492.12</v>
      </c>
      <c r="R42" s="293">
        <f t="shared" si="9"/>
        <v>7.8799999999999955</v>
      </c>
      <c r="S42" s="290">
        <v>300</v>
      </c>
      <c r="T42" s="290">
        <f>SUMIFS(Tabla35[Abonos],Tabla35[Lote],B42,Tabla35[Cliente],C42,Tabla35[Concepto],"MEDIDOR")</f>
        <v>0</v>
      </c>
      <c r="U42" s="293">
        <f t="shared" si="10"/>
        <v>300</v>
      </c>
      <c r="V42" s="290"/>
      <c r="W42" s="290">
        <f>SUMIFS(Tabla35[Abonos],Tabla35[Lote],B42,Tabla35[Cliente],C42,Tabla35[Concepto],"PENALIZACIÓN")</f>
        <v>0</v>
      </c>
      <c r="X42" s="290">
        <f t="shared" si="12"/>
        <v>0</v>
      </c>
    </row>
    <row r="43" spans="2:24" ht="14" customHeight="1">
      <c r="B43" s="424" t="s">
        <v>71</v>
      </c>
      <c r="C43" s="425">
        <f>'BASE DATOS'!C42</f>
        <v>0</v>
      </c>
      <c r="D43" s="290">
        <f>'BASE DATOS'!AA42</f>
        <v>201000</v>
      </c>
      <c r="E43" s="299">
        <f t="shared" si="13"/>
        <v>201000</v>
      </c>
      <c r="F43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201800</v>
      </c>
      <c r="G43" s="290">
        <f>'BASE DATOS'!AE42</f>
        <v>201000</v>
      </c>
      <c r="H43" s="290">
        <f>SUMIFS(Tabla35[Abonos],Tabla35[Lote],B43,Tabla35[Cliente],C43,Tabla35[Concepto],"ABONO")</f>
        <v>0</v>
      </c>
      <c r="I43" s="293">
        <f t="shared" si="2"/>
        <v>201000</v>
      </c>
      <c r="J43" s="290">
        <f>'BASE DATOS'!AF42</f>
        <v>0</v>
      </c>
      <c r="K43" s="290">
        <f>SUMIFS(Tabla35[Abonos],Tabla35[Lote],B43,Tabla35[Cliente],C43,Tabla35[Concepto],"MULTIBANK")</f>
        <v>0</v>
      </c>
      <c r="L43" s="293">
        <f t="shared" si="7"/>
        <v>0</v>
      </c>
      <c r="M43" s="290">
        <f>'BASE DATOS'!AV42</f>
        <v>0</v>
      </c>
      <c r="N43" s="290">
        <f>SUMIFS(Tabla35[Abonos],Tabla35[Lote],B43,Tabla35[Cliente],C43,Tabla35[Concepto],"GASTOS LEGALES")</f>
        <v>0</v>
      </c>
      <c r="O43" s="293">
        <f t="shared" si="8"/>
        <v>0</v>
      </c>
      <c r="P43" s="290">
        <v>500</v>
      </c>
      <c r="Q43" s="290">
        <f>SUMIFS(Tabla35[Abonos],Tabla35[Lote],B43,Tabla35[Cliente],C43,Tabla35[Concepto],"FONDO ADM")</f>
        <v>0</v>
      </c>
      <c r="R43" s="293">
        <f t="shared" si="9"/>
        <v>500</v>
      </c>
      <c r="S43" s="290">
        <v>300</v>
      </c>
      <c r="T43" s="290">
        <f>SUMIFS(Tabla35[Abonos],Tabla35[Lote],B43,Tabla35[Cliente],C43,Tabla35[Concepto],"MEDIDOR")</f>
        <v>0</v>
      </c>
      <c r="U43" s="293">
        <f t="shared" si="10"/>
        <v>300</v>
      </c>
      <c r="V43" s="290"/>
      <c r="W43" s="290">
        <f>SUMIFS(Tabla35[Abonos],Tabla35[Lote],B43,Tabla35[Cliente],C43,Tabla35[Concepto],"PENALIZACIÓN")</f>
        <v>0</v>
      </c>
      <c r="X43" s="290">
        <f t="shared" si="12"/>
        <v>0</v>
      </c>
    </row>
    <row r="44" spans="2:24" ht="14" customHeight="1">
      <c r="B44" s="424" t="s">
        <v>72</v>
      </c>
      <c r="C44" s="425" t="str">
        <f>'BASE DATOS'!C43</f>
        <v>SANDRA KAVANAUGH/SHARON BOMFALK</v>
      </c>
      <c r="D44" s="290">
        <f>'BASE DATOS'!AA43</f>
        <v>201000</v>
      </c>
      <c r="E44" s="299">
        <f t="shared" si="13"/>
        <v>0</v>
      </c>
      <c r="F44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44" s="290">
        <f>'BASE DATOS'!AE43</f>
        <v>201000</v>
      </c>
      <c r="H44" s="290">
        <f>SUMIFS(Tabla35[Abonos],Tabla35[Lote],B44,Tabla35[Cliente],C44,Tabla35[Concepto],"ABONO")</f>
        <v>201000</v>
      </c>
      <c r="I44" s="293">
        <f t="shared" si="2"/>
        <v>0</v>
      </c>
      <c r="J44" s="290">
        <f>'BASE DATOS'!AF43</f>
        <v>0</v>
      </c>
      <c r="K44" s="290">
        <f>SUMIFS(Tabla35[Abonos],Tabla35[Lote],B44,Tabla35[Cliente],C44,Tabla35[Concepto],"MULTIBANK")</f>
        <v>0</v>
      </c>
      <c r="L44" s="293">
        <f t="shared" si="7"/>
        <v>0</v>
      </c>
      <c r="M44" s="290">
        <f>'BASE DATOS'!AV43</f>
        <v>1830</v>
      </c>
      <c r="N44" s="290">
        <f>SUMIFS(Tabla35[Abonos],Tabla35[Lote],B44,Tabla35[Cliente],C44,Tabla35[Concepto],"GASTOS LEGALES")</f>
        <v>1830</v>
      </c>
      <c r="O44" s="293">
        <f t="shared" si="8"/>
        <v>0</v>
      </c>
      <c r="P44" s="290">
        <v>500</v>
      </c>
      <c r="Q44" s="290">
        <f>SUMIFS(Tabla35[Abonos],Tabla35[Lote],B44,Tabla35[Cliente],C44,Tabla35[Concepto],"FONDO ADM")</f>
        <v>500</v>
      </c>
      <c r="R44" s="293">
        <f t="shared" si="9"/>
        <v>0</v>
      </c>
      <c r="S44" s="290">
        <v>300</v>
      </c>
      <c r="T44" s="290">
        <f>SUMIFS(Tabla35[Abonos],Tabla35[Lote],B44,Tabla35[Cliente],C44,Tabla35[Concepto],"MEDIDOR")</f>
        <v>300</v>
      </c>
      <c r="U44" s="293">
        <f t="shared" si="10"/>
        <v>0</v>
      </c>
      <c r="V44" s="290"/>
      <c r="W44" s="290">
        <f>SUMIFS(Tabla35[Abonos],Tabla35[Lote],B44,Tabla35[Cliente],C44,Tabla35[Concepto],"PENALIZACIÓN")</f>
        <v>0</v>
      </c>
      <c r="X44" s="290">
        <f t="shared" si="12"/>
        <v>0</v>
      </c>
    </row>
    <row r="45" spans="2:24" ht="14" customHeight="1">
      <c r="B45" s="424" t="s">
        <v>73</v>
      </c>
      <c r="C45" s="425" t="str">
        <f>'BASE DATOS'!C44</f>
        <v>CONSTRUA INTERNATIONAL</v>
      </c>
      <c r="D45" s="290">
        <f>'BASE DATOS'!AA44</f>
        <v>130000</v>
      </c>
      <c r="E45" s="299">
        <f t="shared" si="13"/>
        <v>0</v>
      </c>
      <c r="F45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800</v>
      </c>
      <c r="G45" s="290">
        <f>'BASE DATOS'!AE44</f>
        <v>130000</v>
      </c>
      <c r="H45" s="290">
        <f>SUMIFS(Tabla35[Abonos],Tabla35[Lote],B45,Tabla35[Cliente],C45,Tabla35[Concepto],"ABONO")</f>
        <v>130000</v>
      </c>
      <c r="I45" s="293">
        <f t="shared" si="2"/>
        <v>0</v>
      </c>
      <c r="J45" s="290">
        <f>'BASE DATOS'!AF44</f>
        <v>0</v>
      </c>
      <c r="K45" s="290">
        <f>SUMIFS(Tabla35[Abonos],Tabla35[Lote],B45,Tabla35[Cliente],C45,Tabla35[Concepto],"MULTIBANK")</f>
        <v>0</v>
      </c>
      <c r="L45" s="293">
        <f t="shared" si="7"/>
        <v>0</v>
      </c>
      <c r="M45" s="290">
        <f>'BASE DATOS'!AV44</f>
        <v>1726</v>
      </c>
      <c r="N45" s="290">
        <f>SUMIFS(Tabla35[Abonos],Tabla35[Lote],B45,Tabla35[Cliente],C45,Tabla35[Concepto],"GASTOS LEGALES")</f>
        <v>1726</v>
      </c>
      <c r="O45" s="293">
        <f t="shared" si="8"/>
        <v>0</v>
      </c>
      <c r="P45" s="290">
        <v>500</v>
      </c>
      <c r="Q45" s="290">
        <f>SUMIFS(Tabla35[Abonos],Tabla35[Lote],B45,Tabla35[Cliente],C45,Tabla35[Concepto],"FONDO ADM")</f>
        <v>0</v>
      </c>
      <c r="R45" s="293">
        <f t="shared" si="9"/>
        <v>500</v>
      </c>
      <c r="S45" s="290">
        <v>300</v>
      </c>
      <c r="T45" s="290">
        <f>SUMIFS(Tabla35[Abonos],Tabla35[Lote],B45,Tabla35[Cliente],C45,Tabla35[Concepto],"MEDIDOR")</f>
        <v>0</v>
      </c>
      <c r="U45" s="293">
        <f t="shared" si="10"/>
        <v>300</v>
      </c>
      <c r="V45" s="290"/>
      <c r="W45" s="290">
        <f>SUMIFS(Tabla35[Abonos],Tabla35[Lote],B45,Tabla35[Cliente],C45,Tabla35[Concepto],"PENALIZACIÓN")</f>
        <v>0</v>
      </c>
      <c r="X45" s="290">
        <f t="shared" si="12"/>
        <v>0</v>
      </c>
    </row>
    <row r="46" spans="2:24" ht="14" customHeight="1">
      <c r="B46" s="424" t="s">
        <v>74</v>
      </c>
      <c r="C46" s="425" t="str">
        <f>'BASE DATOS'!C45</f>
        <v>NADIA RODRIGUEZ</v>
      </c>
      <c r="D46" s="290">
        <f>'BASE DATOS'!AA45</f>
        <v>180000</v>
      </c>
      <c r="E46" s="299">
        <f t="shared" si="13"/>
        <v>100000</v>
      </c>
      <c r="F46" s="293" t="e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#VALUE!</v>
      </c>
      <c r="G46" s="290">
        <f>'BASE DATOS'!AE45</f>
        <v>180000</v>
      </c>
      <c r="H46" s="290">
        <f>SUMIFS(Tabla35[Abonos],Tabla35[Lote],B46,Tabla35[Cliente],C46,Tabla35[Concepto],"ABONO")</f>
        <v>80000</v>
      </c>
      <c r="I46" s="293">
        <f t="shared" si="2"/>
        <v>100000</v>
      </c>
      <c r="J46" s="290">
        <f>'BASE DATOS'!AF45</f>
        <v>0</v>
      </c>
      <c r="K46" s="290">
        <f>SUMIFS(Tabla35[Abonos],Tabla35[Lote],B46,Tabla35[Cliente],C46,Tabla35[Concepto],"MULTIBANK")</f>
        <v>0</v>
      </c>
      <c r="L46" s="293">
        <f t="shared" si="7"/>
        <v>0</v>
      </c>
      <c r="M46" s="290" t="str">
        <f>'BASE DATOS'!AV45</f>
        <v>BANCO</v>
      </c>
      <c r="N46" s="290">
        <f>SUMIFS(Tabla35[Abonos],Tabla35[Lote],B46,Tabla35[Cliente],C46,Tabla35[Concepto],"GASTOS LEGALES")</f>
        <v>0</v>
      </c>
      <c r="O46" s="293" t="e">
        <f t="shared" si="8"/>
        <v>#VALUE!</v>
      </c>
      <c r="P46" s="290">
        <v>500</v>
      </c>
      <c r="Q46" s="290">
        <f>SUMIFS(Tabla35[Abonos],Tabla35[Lote],B46,Tabla35[Cliente],C46,Tabla35[Concepto],"FONDO ADM")</f>
        <v>0</v>
      </c>
      <c r="R46" s="293">
        <f t="shared" si="9"/>
        <v>500</v>
      </c>
      <c r="S46" s="290">
        <v>300</v>
      </c>
      <c r="T46" s="290">
        <f>SUMIFS(Tabla35[Abonos],Tabla35[Lote],B46,Tabla35[Cliente],C46,Tabla35[Concepto],"MEDIDOR")</f>
        <v>0</v>
      </c>
      <c r="U46" s="293">
        <f t="shared" si="10"/>
        <v>300</v>
      </c>
      <c r="V46" s="290"/>
      <c r="W46" s="290">
        <f>SUMIFS(Tabla35[Abonos],Tabla35[Lote],B46,Tabla35[Cliente],C46,Tabla35[Concepto],"PENALIZACIÓN")</f>
        <v>0</v>
      </c>
      <c r="X46" s="290">
        <f t="shared" si="12"/>
        <v>0</v>
      </c>
    </row>
    <row r="47" spans="2:24" ht="14" customHeight="1">
      <c r="B47" s="424" t="s">
        <v>77</v>
      </c>
      <c r="C47" s="425" t="str">
        <f>'BASE DATOS'!C46</f>
        <v>MICHAEL RIVAS</v>
      </c>
      <c r="D47" s="293">
        <f>'BASE DATOS'!AA46</f>
        <v>143389.44</v>
      </c>
      <c r="E47" s="290">
        <f t="shared" si="13"/>
        <v>0</v>
      </c>
      <c r="F47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3300</v>
      </c>
      <c r="G47" s="290">
        <f>'BASE DATOS'!AE46</f>
        <v>17000</v>
      </c>
      <c r="H47" s="290">
        <f>SUMIFS(Tabla35[Abonos],Tabla35[Lote],B47,Tabla35[Cliente],C47,Tabla35[Concepto],"ABONO")</f>
        <v>17000</v>
      </c>
      <c r="I47" s="293">
        <f t="shared" si="2"/>
        <v>0</v>
      </c>
      <c r="J47" s="290">
        <f>'BASE DATOS'!AF46</f>
        <v>126389.44</v>
      </c>
      <c r="K47" s="290">
        <f>SUMIFS(Tabla35[Abonos],Tabla35[Lote],B47,Tabla35[Cliente],C47,Tabla35[Concepto],"MULTIBANK")</f>
        <v>126389.44</v>
      </c>
      <c r="L47" s="293">
        <f t="shared" si="7"/>
        <v>0</v>
      </c>
      <c r="M47" s="290">
        <v>0</v>
      </c>
      <c r="N47" s="290">
        <f>SUMIFS(Tabla35[Abonos],Tabla35[Lote],B47,Tabla35[Cliente],C47,Tabla35[Concepto],"GASTOS LEGALES")</f>
        <v>0</v>
      </c>
      <c r="O47" s="293">
        <f t="shared" si="8"/>
        <v>0</v>
      </c>
      <c r="P47" s="290">
        <v>500</v>
      </c>
      <c r="Q47" s="290">
        <f>SUMIFS(Tabla35[Abonos],Tabla35[Lote],B47,Tabla35[Cliente],C47,Tabla35[Concepto],"FONDO ADM")</f>
        <v>500</v>
      </c>
      <c r="R47" s="293">
        <f t="shared" si="9"/>
        <v>0</v>
      </c>
      <c r="S47" s="290">
        <v>300</v>
      </c>
      <c r="T47" s="290">
        <f>SUMIFS(Tabla35[Abonos],Tabla35[Lote],B47,Tabla35[Cliente],C47,Tabla35[Concepto],"MEDIDOR")</f>
        <v>300</v>
      </c>
      <c r="U47" s="293">
        <f t="shared" si="10"/>
        <v>0</v>
      </c>
      <c r="V47" s="290">
        <v>5000</v>
      </c>
      <c r="W47" s="290">
        <f>SUMIFS(Tabla35[Abonos],Tabla35[Lote],B47,Tabla35[Cliente],C47,Tabla35[Concepto],"PENALIZACIÓN")</f>
        <v>1700</v>
      </c>
      <c r="X47" s="290">
        <f t="shared" si="12"/>
        <v>3300</v>
      </c>
    </row>
    <row r="48" spans="2:24" ht="14" customHeight="1">
      <c r="B48" s="426" t="s">
        <v>78</v>
      </c>
      <c r="C48" s="427" t="str">
        <f>'BASE DATOS'!C47</f>
        <v>ALESSANDRO GANCI CERRUD</v>
      </c>
      <c r="D48" s="294">
        <f>'BASE DATOS'!AA47</f>
        <v>185000</v>
      </c>
      <c r="E48" s="298">
        <f t="shared" si="13"/>
        <v>0</v>
      </c>
      <c r="F48" s="295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48" s="294">
        <f>'BASE DATOS'!AE47</f>
        <v>14801</v>
      </c>
      <c r="H48" s="294">
        <f>SUMIFS(Tabla35[Abonos],Tabla35[Lote],B48,Tabla35[Cliente],C48,Tabla35[Concepto],"ABONO")</f>
        <v>14801</v>
      </c>
      <c r="I48" s="295">
        <f t="shared" si="2"/>
        <v>0</v>
      </c>
      <c r="J48" s="294">
        <f>'BASE DATOS'!AF47</f>
        <v>170199</v>
      </c>
      <c r="K48" s="294">
        <f>SUMIFS(Tabla35[Abonos],Tabla35[Lote],B48,Tabla35[Cliente],C48,Tabla35[Concepto],"MULTIBANK")</f>
        <v>170199</v>
      </c>
      <c r="L48" s="295">
        <f t="shared" si="7"/>
        <v>0</v>
      </c>
      <c r="M48" s="294">
        <v>0</v>
      </c>
      <c r="N48" s="294">
        <f>SUMIFS(Tabla35[Abonos],Tabla35[Lote],B48,Tabla35[Cliente],C48,Tabla35[Concepto],"GASTOS LEGALES")</f>
        <v>0</v>
      </c>
      <c r="O48" s="295">
        <f t="shared" si="8"/>
        <v>0</v>
      </c>
      <c r="P48" s="298">
        <v>500</v>
      </c>
      <c r="Q48" s="294">
        <f>SUMIFS(Tabla35[Abonos],Tabla35[Lote],B48,Tabla35[Cliente],C48,Tabla35[Concepto],"FONDO ADM")</f>
        <v>500</v>
      </c>
      <c r="R48" s="295">
        <f t="shared" si="9"/>
        <v>0</v>
      </c>
      <c r="S48" s="294">
        <v>300</v>
      </c>
      <c r="T48" s="294">
        <f>SUMIFS(Tabla35[Abonos],Tabla35[Lote],B48,Tabla35[Cliente],C48,Tabla35[Concepto],"MEDIDOR")</f>
        <v>300</v>
      </c>
      <c r="U48" s="295">
        <f t="shared" si="10"/>
        <v>0</v>
      </c>
      <c r="V48" s="294"/>
      <c r="W48" s="294">
        <f>SUMIFS(Tabla35[Abonos],Tabla35[Lote],B48,Tabla35[Cliente],C48,Tabla35[Concepto],"PENALIZACIÓN")</f>
        <v>0</v>
      </c>
      <c r="X48" s="294">
        <f t="shared" si="12"/>
        <v>0</v>
      </c>
    </row>
    <row r="49" spans="1:24" ht="14" customHeight="1">
      <c r="B49" s="420" t="s">
        <v>79</v>
      </c>
      <c r="C49" s="421">
        <f>'BASE DATOS'!C48</f>
        <v>0</v>
      </c>
      <c r="D49" s="291">
        <f>'BASE DATOS'!AA48</f>
        <v>220862.25</v>
      </c>
      <c r="E49" s="299">
        <f t="shared" si="13"/>
        <v>0</v>
      </c>
      <c r="F49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800</v>
      </c>
      <c r="G49" s="291">
        <f>'BASE DATOS'!AE48</f>
        <v>0</v>
      </c>
      <c r="H49" s="291">
        <f>SUMIFS(Tabla35[Abonos],Tabla35[Lote],B49,Tabla35[Cliente],C49,Tabla35[Concepto],"ABONO")</f>
        <v>0</v>
      </c>
      <c r="I49" s="292">
        <f t="shared" si="2"/>
        <v>0</v>
      </c>
      <c r="J49" s="291">
        <f>'BASE DATOS'!AF48</f>
        <v>0</v>
      </c>
      <c r="K49" s="291">
        <f>SUMIFS(Tabla35[Abonos],Tabla35[Lote],B49,Tabla35[Cliente],C49,Tabla35[Concepto],"MULTIBANK")</f>
        <v>0</v>
      </c>
      <c r="L49" s="292">
        <f t="shared" si="7"/>
        <v>0</v>
      </c>
      <c r="M49" s="291">
        <f>'BASE DATOS'!AV48</f>
        <v>0</v>
      </c>
      <c r="N49" s="291">
        <f>SUMIFS(Tabla35[Abonos],Tabla35[Lote],B49,Tabla35[Cliente],C49,Tabla35[Concepto],"GASTOS LEGALES")</f>
        <v>0</v>
      </c>
      <c r="O49" s="292">
        <f t="shared" si="8"/>
        <v>0</v>
      </c>
      <c r="P49" s="290">
        <v>500</v>
      </c>
      <c r="Q49" s="291">
        <f>SUMIFS(Tabla35[Abonos],Tabla35[Lote],B49,Tabla35[Cliente],C49,Tabla35[Concepto],"FONDO ADM")</f>
        <v>0</v>
      </c>
      <c r="R49" s="292">
        <f t="shared" si="9"/>
        <v>500</v>
      </c>
      <c r="S49" s="291">
        <v>300</v>
      </c>
      <c r="T49" s="291">
        <f>SUMIFS(Tabla35[Abonos],Tabla35[Lote],B49,Tabla35[Cliente],C49,Tabla35[Concepto],"MEDIDOR")</f>
        <v>0</v>
      </c>
      <c r="U49" s="292">
        <f t="shared" si="10"/>
        <v>300</v>
      </c>
      <c r="V49" s="291"/>
      <c r="W49" s="290">
        <f>SUMIFS(Tabla35[Abonos],Tabla35[Lote],B49,Tabla35[Cliente],C49,Tabla35[Concepto],"PENALIZACIÓN")</f>
        <v>0</v>
      </c>
      <c r="X49" s="291">
        <f t="shared" si="12"/>
        <v>0</v>
      </c>
    </row>
    <row r="50" spans="1:24" ht="14" customHeight="1">
      <c r="B50" s="424" t="s">
        <v>80</v>
      </c>
      <c r="C50" s="425" t="str">
        <f>'BASE DATOS'!C49</f>
        <v>PAUL HINSHAW</v>
      </c>
      <c r="D50" s="290">
        <f>'BASE DATOS'!AA49</f>
        <v>182000</v>
      </c>
      <c r="E50" s="299">
        <f t="shared" si="13"/>
        <v>0</v>
      </c>
      <c r="F50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50" s="290">
        <f>'BASE DATOS'!AE49</f>
        <v>182000</v>
      </c>
      <c r="H50" s="290">
        <f>SUMIFS(Tabla35[Abonos],Tabla35[Lote],B50,Tabla35[Cliente],C50,Tabla35[Concepto],"ABONO")</f>
        <v>182000</v>
      </c>
      <c r="I50" s="293">
        <f t="shared" si="2"/>
        <v>0</v>
      </c>
      <c r="J50" s="290">
        <f>'BASE DATOS'!AF49</f>
        <v>0</v>
      </c>
      <c r="K50" s="290">
        <f>SUMIFS(Tabla35[Abonos],Tabla35[Lote],B50,Tabla35[Cliente],C50,Tabla35[Concepto],"MULTIBANK")</f>
        <v>0</v>
      </c>
      <c r="L50" s="293">
        <f t="shared" si="7"/>
        <v>0</v>
      </c>
      <c r="M50" s="290">
        <f>'BASE DATOS'!AV49</f>
        <v>1704</v>
      </c>
      <c r="N50" s="290">
        <f>SUMIFS(Tabla35[Abonos],Tabla35[Lote],B50,Tabla35[Cliente],C50,Tabla35[Concepto],"GASTOS LEGALES")</f>
        <v>1704</v>
      </c>
      <c r="O50" s="293">
        <f t="shared" si="8"/>
        <v>0</v>
      </c>
      <c r="P50" s="290">
        <v>500</v>
      </c>
      <c r="Q50" s="290">
        <f>SUMIFS(Tabla35[Abonos],Tabla35[Lote],B50,Tabla35[Cliente],C50,Tabla35[Concepto],"FONDO ADM")</f>
        <v>500</v>
      </c>
      <c r="R50" s="293">
        <f t="shared" si="9"/>
        <v>0</v>
      </c>
      <c r="S50" s="290">
        <v>300</v>
      </c>
      <c r="T50" s="290">
        <f>SUMIFS(Tabla35[Abonos],Tabla35[Lote],B50,Tabla35[Cliente],C50,Tabla35[Concepto],"MEDIDOR")</f>
        <v>300</v>
      </c>
      <c r="U50" s="293">
        <f t="shared" si="10"/>
        <v>0</v>
      </c>
      <c r="V50" s="290"/>
      <c r="W50" s="290">
        <f>SUMIFS(Tabla35[Abonos],Tabla35[Lote],B50,Tabla35[Cliente],C50,Tabla35[Concepto],"PENALIZACIÓN")</f>
        <v>0</v>
      </c>
      <c r="X50" s="290">
        <f t="shared" si="12"/>
        <v>0</v>
      </c>
    </row>
    <row r="51" spans="1:24" ht="14" customHeight="1">
      <c r="B51" s="424" t="s">
        <v>81</v>
      </c>
      <c r="C51" s="425" t="str">
        <f>'BASE DATOS'!C50</f>
        <v>ALLISON SMITH HARRIS</v>
      </c>
      <c r="D51" s="290">
        <f>'BASE DATOS'!AA50</f>
        <v>236000</v>
      </c>
      <c r="E51" s="299">
        <f t="shared" si="13"/>
        <v>0</v>
      </c>
      <c r="F51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51" s="290">
        <f>'BASE DATOS'!AE50</f>
        <v>68700</v>
      </c>
      <c r="H51" s="290">
        <f>SUMIFS(Tabla35[Abonos],Tabla35[Lote],B51,Tabla35[Cliente],C51,Tabla35[Concepto],"ABONO")</f>
        <v>68699.999999999985</v>
      </c>
      <c r="I51" s="293">
        <f t="shared" si="2"/>
        <v>0</v>
      </c>
      <c r="J51" s="290">
        <f>'BASE DATOS'!AF50</f>
        <v>167300</v>
      </c>
      <c r="K51" s="290">
        <f>SUMIFS(Tabla35[Abonos],Tabla35[Lote],B51,Tabla35[Cliente],C51,Tabla35[Concepto],"MULTIBANK")</f>
        <v>167300</v>
      </c>
      <c r="L51" s="293">
        <f t="shared" si="7"/>
        <v>0</v>
      </c>
      <c r="M51" s="290">
        <v>0</v>
      </c>
      <c r="N51" s="290">
        <f>SUMIFS(Tabla35[Abonos],Tabla35[Lote],B51,Tabla35[Cliente],C51,Tabla35[Concepto],"GASTOS LEGALES")</f>
        <v>0</v>
      </c>
      <c r="O51" s="293">
        <f t="shared" si="8"/>
        <v>0</v>
      </c>
      <c r="P51" s="290">
        <v>500</v>
      </c>
      <c r="Q51" s="290">
        <f>SUMIFS(Tabla35[Abonos],Tabla35[Lote],B51,Tabla35[Cliente],C51,Tabla35[Concepto],"FONDO ADM")</f>
        <v>500</v>
      </c>
      <c r="R51" s="293">
        <f t="shared" si="9"/>
        <v>0</v>
      </c>
      <c r="S51" s="290">
        <v>300</v>
      </c>
      <c r="T51" s="290">
        <f>SUMIFS(Tabla35[Abonos],Tabla35[Lote],B51,Tabla35[Cliente],C51,Tabla35[Concepto],"MEDIDOR")</f>
        <v>300</v>
      </c>
      <c r="U51" s="293">
        <f t="shared" si="10"/>
        <v>0</v>
      </c>
      <c r="V51" s="290"/>
      <c r="W51" s="290">
        <f>SUMIFS(Tabla35[Abonos],Tabla35[Lote],B51,Tabla35[Cliente],C51,Tabla35[Concepto],"PENALIZACIÓN")</f>
        <v>0</v>
      </c>
      <c r="X51" s="290">
        <f t="shared" si="12"/>
        <v>0</v>
      </c>
    </row>
    <row r="52" spans="1:24" ht="14" customHeight="1">
      <c r="B52" s="424" t="s">
        <v>84</v>
      </c>
      <c r="C52" s="425" t="str">
        <f>'BASE DATOS'!C51</f>
        <v>PEDRO GALVEZ</v>
      </c>
      <c r="D52" s="290">
        <f>'BASE DATOS'!AA51</f>
        <v>212650</v>
      </c>
      <c r="E52" s="299">
        <f t="shared" si="13"/>
        <v>0</v>
      </c>
      <c r="F52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52" s="290">
        <f>'BASE DATOS'!AE51</f>
        <v>74427.5</v>
      </c>
      <c r="H52" s="290">
        <f>SUMIFS(Tabla35[Abonos],Tabla35[Lote],B52,Tabla35[Cliente],C52,Tabla35[Concepto],"ABONO")</f>
        <v>74427.5</v>
      </c>
      <c r="I52" s="293">
        <f t="shared" si="2"/>
        <v>0</v>
      </c>
      <c r="J52" s="290">
        <f>'BASE DATOS'!AF51</f>
        <v>138222.5</v>
      </c>
      <c r="K52" s="290">
        <f>SUMIFS(Tabla35[Abonos],Tabla35[Lote],B52,Tabla35[Cliente],C52,Tabla35[Concepto],"MULTIBANK")</f>
        <v>138222.5</v>
      </c>
      <c r="L52" s="293">
        <f t="shared" si="7"/>
        <v>0</v>
      </c>
      <c r="M52" s="290">
        <v>0</v>
      </c>
      <c r="N52" s="290">
        <f>SUMIFS(Tabla35[Abonos],Tabla35[Lote],B52,Tabla35[Cliente],C52,Tabla35[Concepto],"GASTOS LEGALES")</f>
        <v>0</v>
      </c>
      <c r="O52" s="293">
        <f t="shared" si="8"/>
        <v>0</v>
      </c>
      <c r="P52" s="290">
        <v>500</v>
      </c>
      <c r="Q52" s="290">
        <f>SUMIFS(Tabla35[Abonos],Tabla35[Lote],B52,Tabla35[Cliente],C52,Tabla35[Concepto],"FONDO ADM")</f>
        <v>500</v>
      </c>
      <c r="R52" s="293">
        <f t="shared" si="9"/>
        <v>0</v>
      </c>
      <c r="S52" s="290">
        <v>300</v>
      </c>
      <c r="T52" s="290">
        <f>SUMIFS(Tabla35[Abonos],Tabla35[Lote],B52,Tabla35[Cliente],C52,Tabla35[Concepto],"MEDIDOR")</f>
        <v>300</v>
      </c>
      <c r="U52" s="293">
        <f t="shared" si="10"/>
        <v>0</v>
      </c>
      <c r="V52" s="290"/>
      <c r="W52" s="290">
        <f>SUMIFS(Tabla35[Abonos],Tabla35[Lote],B52,Tabla35[Cliente],C52,Tabla35[Concepto],"PENALIZACIÓN")</f>
        <v>0</v>
      </c>
      <c r="X52" s="290">
        <f t="shared" si="12"/>
        <v>0</v>
      </c>
    </row>
    <row r="53" spans="1:24" ht="14" customHeight="1">
      <c r="B53" s="424" t="s">
        <v>85</v>
      </c>
      <c r="C53" s="425">
        <f>'BASE DATOS'!C52</f>
        <v>0</v>
      </c>
      <c r="D53" s="290">
        <f>'BASE DATOS'!AA52</f>
        <v>250000</v>
      </c>
      <c r="E53" s="299">
        <f t="shared" si="13"/>
        <v>0</v>
      </c>
      <c r="F53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800</v>
      </c>
      <c r="G53" s="290">
        <f>'BASE DATOS'!AE52</f>
        <v>0</v>
      </c>
      <c r="H53" s="290">
        <f>SUMIFS(Tabla35[Abonos],Tabla35[Lote],B53,Tabla35[Cliente],C53,Tabla35[Concepto],"ABONO")</f>
        <v>0</v>
      </c>
      <c r="I53" s="293">
        <f t="shared" si="2"/>
        <v>0</v>
      </c>
      <c r="J53" s="290">
        <f>'BASE DATOS'!AF52</f>
        <v>0</v>
      </c>
      <c r="K53" s="290">
        <f>SUMIFS(Tabla35[Abonos],Tabla35[Lote],B53,Tabla35[Cliente],C53,Tabla35[Concepto],"MULTIBANK")</f>
        <v>0</v>
      </c>
      <c r="L53" s="293">
        <f t="shared" si="7"/>
        <v>0</v>
      </c>
      <c r="M53" s="290">
        <f>'BASE DATOS'!AV52</f>
        <v>0</v>
      </c>
      <c r="N53" s="290">
        <f>SUMIFS(Tabla35[Abonos],Tabla35[Lote],B53,Tabla35[Cliente],C53,Tabla35[Concepto],"GASTOS LEGALES")</f>
        <v>0</v>
      </c>
      <c r="O53" s="293">
        <f t="shared" si="8"/>
        <v>0</v>
      </c>
      <c r="P53" s="290">
        <v>500</v>
      </c>
      <c r="Q53" s="290">
        <f>SUMIFS(Tabla35[Abonos],Tabla35[Lote],B53,Tabla35[Cliente],C53,Tabla35[Concepto],"FONDO ADM")</f>
        <v>0</v>
      </c>
      <c r="R53" s="293">
        <f t="shared" si="9"/>
        <v>500</v>
      </c>
      <c r="S53" s="290">
        <v>300</v>
      </c>
      <c r="T53" s="290">
        <f>SUMIFS(Tabla35[Abonos],Tabla35[Lote],B53,Tabla35[Cliente],C53,Tabla35[Concepto],"MEDIDOR")</f>
        <v>0</v>
      </c>
      <c r="U53" s="293">
        <f t="shared" si="10"/>
        <v>300</v>
      </c>
      <c r="V53" s="290"/>
      <c r="W53" s="290">
        <f>SUMIFS(Tabla35[Abonos],Tabla35[Lote],B53,Tabla35[Cliente],C53,Tabla35[Concepto],"PENALIZACIÓN")</f>
        <v>0</v>
      </c>
      <c r="X53" s="290">
        <f t="shared" si="12"/>
        <v>0</v>
      </c>
    </row>
    <row r="54" spans="1:24" ht="14" customHeight="1">
      <c r="B54" s="424" t="s">
        <v>86</v>
      </c>
      <c r="C54" s="425" t="str">
        <f>'BASE DATOS'!C53</f>
        <v>SANDRA KAVANAUGH</v>
      </c>
      <c r="D54" s="290">
        <f>'BASE DATOS'!AA53</f>
        <v>250000</v>
      </c>
      <c r="E54" s="299">
        <f t="shared" si="13"/>
        <v>0</v>
      </c>
      <c r="F54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0</v>
      </c>
      <c r="G54" s="290">
        <f>'BASE DATOS'!AE53</f>
        <v>75000</v>
      </c>
      <c r="H54" s="290">
        <f>SUMIFS(Tabla35[Abonos],Tabla35[Lote],B54,Tabla35[Cliente],C54,Tabla35[Concepto],"ABONO")</f>
        <v>75000</v>
      </c>
      <c r="I54" s="293">
        <f t="shared" si="2"/>
        <v>0</v>
      </c>
      <c r="J54" s="290">
        <f>'BASE DATOS'!AF53</f>
        <v>175000</v>
      </c>
      <c r="K54" s="290">
        <f>SUMIFS(Tabla35[Abonos],Tabla35[Lote],B54,Tabla35[Cliente],C54,Tabla35[Concepto],"MULTIBANK")</f>
        <v>175000</v>
      </c>
      <c r="L54" s="293">
        <f t="shared" si="7"/>
        <v>0</v>
      </c>
      <c r="M54" s="290">
        <f>'BASE DATOS'!AV53</f>
        <v>2100</v>
      </c>
      <c r="N54" s="290">
        <f>SUMIFS(Tabla35[Abonos],Tabla35[Lote],B54,Tabla35[Cliente],C54,Tabla35[Concepto],"GASTOS LEGALES")</f>
        <v>2100</v>
      </c>
      <c r="O54" s="293">
        <f t="shared" si="8"/>
        <v>0</v>
      </c>
      <c r="P54" s="290">
        <v>500</v>
      </c>
      <c r="Q54" s="290">
        <f>SUMIFS(Tabla35[Abonos],Tabla35[Lote],B54,Tabla35[Cliente],C54,Tabla35[Concepto],"FONDO ADM")</f>
        <v>500</v>
      </c>
      <c r="R54" s="293">
        <f t="shared" si="9"/>
        <v>0</v>
      </c>
      <c r="S54" s="290">
        <v>300</v>
      </c>
      <c r="T54" s="290">
        <f>SUMIFS(Tabla35[Abonos],Tabla35[Lote],B54,Tabla35[Cliente],C54,Tabla35[Concepto],"MEDIDOR")</f>
        <v>300</v>
      </c>
      <c r="U54" s="293">
        <f t="shared" si="10"/>
        <v>0</v>
      </c>
      <c r="V54" s="290"/>
      <c r="W54" s="290">
        <f>SUMIFS(Tabla35[Abonos],Tabla35[Lote],B54,Tabla35[Cliente],C54,Tabla35[Concepto],"PENALIZACIÓN")</f>
        <v>0</v>
      </c>
      <c r="X54" s="290">
        <f t="shared" si="12"/>
        <v>0</v>
      </c>
    </row>
    <row r="55" spans="1:24" ht="14" customHeight="1">
      <c r="B55" s="424" t="s">
        <v>363</v>
      </c>
      <c r="C55" s="425" t="str">
        <f>'BASE DATOS'!C54</f>
        <v>ADELI ZAVALETA</v>
      </c>
      <c r="D55" s="290">
        <f>'BASE DATOS'!AA54</f>
        <v>220000</v>
      </c>
      <c r="E55" s="299">
        <f t="shared" si="13"/>
        <v>110000</v>
      </c>
      <c r="F55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110250</v>
      </c>
      <c r="G55" s="290">
        <f>'BASE DATOS'!AE54</f>
        <v>220000</v>
      </c>
      <c r="H55" s="290">
        <f>SUMIFS(Tabla35[Abonos],Tabla35[Lote],B55,Tabla35[Cliente],C55,Tabla35[Concepto],"ABONO")</f>
        <v>110000</v>
      </c>
      <c r="I55" s="293">
        <f t="shared" si="2"/>
        <v>110000</v>
      </c>
      <c r="J55" s="290">
        <f>'BASE DATOS'!AF54</f>
        <v>0</v>
      </c>
      <c r="K55" s="290">
        <f>SUMIFS(Tabla35[Abonos],Tabla35[Lote],B55,Tabla35[Cliente],C55,Tabla35[Concepto],"MULTIBANK")</f>
        <v>0</v>
      </c>
      <c r="L55" s="293">
        <f t="shared" si="7"/>
        <v>0</v>
      </c>
      <c r="M55" s="290">
        <f>'BASE DATOS'!AV54</f>
        <v>0</v>
      </c>
      <c r="N55" s="290">
        <f>SUMIFS(Tabla35[Abonos],Tabla35[Lote],B55,Tabla35[Cliente],C55,Tabla35[Concepto],"GASTOS LEGALES")</f>
        <v>0</v>
      </c>
      <c r="O55" s="293">
        <f t="shared" si="8"/>
        <v>0</v>
      </c>
      <c r="P55" s="290">
        <v>500</v>
      </c>
      <c r="Q55" s="290">
        <f>SUMIFS(Tabla35[Abonos],Tabla35[Lote],B55,Tabla35[Cliente],C55,Tabla35[Concepto],"FONDO ADM")</f>
        <v>250</v>
      </c>
      <c r="R55" s="293">
        <f t="shared" si="9"/>
        <v>250</v>
      </c>
      <c r="S55" s="290">
        <v>300</v>
      </c>
      <c r="T55" s="290">
        <f>SUMIFS(Tabla35[Abonos],Tabla35[Lote],B55,Tabla35[Cliente],C55,Tabla35[Concepto],"MEDIDOR")</f>
        <v>300</v>
      </c>
      <c r="U55" s="293">
        <f t="shared" si="10"/>
        <v>0</v>
      </c>
      <c r="V55" s="290"/>
      <c r="W55" s="290">
        <f>SUMIFS(Tabla35[Abonos],Tabla35[Lote],B55,Tabla35[Cliente],C55,Tabla35[Concepto],"PENALIZACIÓN")</f>
        <v>0</v>
      </c>
      <c r="X55" s="290">
        <f t="shared" si="12"/>
        <v>0</v>
      </c>
    </row>
    <row r="56" spans="1:24" ht="14" customHeight="1">
      <c r="B56" s="424" t="s">
        <v>87</v>
      </c>
      <c r="C56" s="425" t="str">
        <f>'BASE DATOS'!C55</f>
        <v>ADELI ZAVALETA</v>
      </c>
      <c r="D56" s="290">
        <f>'BASE DATOS'!AA55</f>
        <v>217000</v>
      </c>
      <c r="E56" s="299">
        <f t="shared" si="13"/>
        <v>214000</v>
      </c>
      <c r="F56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214800</v>
      </c>
      <c r="G56" s="290">
        <f>'BASE DATOS'!AE55</f>
        <v>217000</v>
      </c>
      <c r="H56" s="290">
        <f>SUMIFS(Tabla35[Abonos],Tabla35[Lote],B56,Tabla35[Cliente],C56,Tabla35[Concepto],"ABONO")</f>
        <v>3000</v>
      </c>
      <c r="I56" s="293">
        <f t="shared" si="2"/>
        <v>214000</v>
      </c>
      <c r="J56" s="290">
        <f>'BASE DATOS'!AF55</f>
        <v>0</v>
      </c>
      <c r="K56" s="290">
        <f>SUMIFS(Tabla35[Abonos],Tabla35[Lote],B56,Tabla35[Cliente],C56,Tabla35[Concepto],"MULTIBANK")</f>
        <v>0</v>
      </c>
      <c r="L56" s="293">
        <f t="shared" si="7"/>
        <v>0</v>
      </c>
      <c r="M56" s="290">
        <f>'BASE DATOS'!AV55</f>
        <v>0</v>
      </c>
      <c r="N56" s="290">
        <f>SUMIFS(Tabla35[Abonos],Tabla35[Lote],B56,Tabla35[Cliente],C56,Tabla35[Concepto],"GASTOS LEGALES")</f>
        <v>0</v>
      </c>
      <c r="O56" s="293">
        <f t="shared" si="8"/>
        <v>0</v>
      </c>
      <c r="P56" s="290">
        <v>500</v>
      </c>
      <c r="Q56" s="290">
        <f>SUMIFS(Tabla35[Abonos],Tabla35[Lote],B56,Tabla35[Cliente],C56,Tabla35[Concepto],"FONDO ADM")</f>
        <v>0</v>
      </c>
      <c r="R56" s="293">
        <f t="shared" si="9"/>
        <v>500</v>
      </c>
      <c r="S56" s="290">
        <v>300</v>
      </c>
      <c r="T56" s="290">
        <f>SUMIFS(Tabla35[Abonos],Tabla35[Lote],B56,Tabla35[Cliente],C56,Tabla35[Concepto],"MEDIDOR")</f>
        <v>0</v>
      </c>
      <c r="U56" s="293">
        <f t="shared" si="10"/>
        <v>300</v>
      </c>
      <c r="V56" s="290"/>
      <c r="W56" s="290">
        <f>SUMIFS(Tabla35[Abonos],Tabla35[Lote],B56,Tabla35[Cliente],C56,Tabla35[Concepto],"PENALIZACIÓN")</f>
        <v>0</v>
      </c>
      <c r="X56" s="290">
        <f t="shared" si="12"/>
        <v>0</v>
      </c>
    </row>
    <row r="57" spans="1:24" ht="14" customHeight="1">
      <c r="B57" s="424" t="s">
        <v>88</v>
      </c>
      <c r="C57" s="425" t="str">
        <f>'BASE DATOS'!C56</f>
        <v>CARMEN BERNASCONI</v>
      </c>
      <c r="D57" s="290">
        <f>'BASE DATOS'!AA56</f>
        <v>221338.98</v>
      </c>
      <c r="E57" s="299">
        <f t="shared" si="13"/>
        <v>0</v>
      </c>
      <c r="F57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57.099999999999909</v>
      </c>
      <c r="G57" s="290">
        <f>'BASE DATOS'!AE56</f>
        <v>221338.98</v>
      </c>
      <c r="H57" s="290">
        <f>SUMIFS(Tabla35[Abonos],Tabla35[Lote],B57,Tabla35[Cliente],C57,Tabla35[Concepto],"ABONO")</f>
        <v>221338.97999999998</v>
      </c>
      <c r="I57" s="293">
        <f t="shared" si="2"/>
        <v>0</v>
      </c>
      <c r="J57" s="290">
        <f>'BASE DATOS'!AF56</f>
        <v>0</v>
      </c>
      <c r="K57" s="290">
        <f>SUMIFS(Tabla35[Abonos],Tabla35[Lote],B57,Tabla35[Cliente],C57,Tabla35[Concepto],"MULTIBANK")</f>
        <v>0</v>
      </c>
      <c r="L57" s="293">
        <f t="shared" si="7"/>
        <v>0</v>
      </c>
      <c r="M57" s="290">
        <f>'BASE DATOS'!AV56</f>
        <v>1824</v>
      </c>
      <c r="N57" s="290">
        <f>SUMIFS(Tabla35[Abonos],Tabla35[Lote],B57,Tabla35[Cliente],C57,Tabla35[Concepto],"GASTOS LEGALES")</f>
        <v>1766.9</v>
      </c>
      <c r="O57" s="293">
        <f t="shared" si="8"/>
        <v>57.099999999999909</v>
      </c>
      <c r="P57" s="290">
        <v>500</v>
      </c>
      <c r="Q57" s="290">
        <f>SUMIFS(Tabla35[Abonos],Tabla35[Lote],B57,Tabla35[Cliente],C57,Tabla35[Concepto],"FONDO ADM")</f>
        <v>500</v>
      </c>
      <c r="R57" s="293">
        <f t="shared" si="9"/>
        <v>0</v>
      </c>
      <c r="S57" s="290">
        <v>300</v>
      </c>
      <c r="T57" s="290">
        <f>SUMIFS(Tabla35[Abonos],Tabla35[Lote],B57,Tabla35[Cliente],C57,Tabla35[Concepto],"MEDIDOR")</f>
        <v>300</v>
      </c>
      <c r="U57" s="293">
        <f t="shared" si="10"/>
        <v>0</v>
      </c>
      <c r="V57" s="290"/>
      <c r="W57" s="290">
        <f>SUMIFS(Tabla35[Abonos],Tabla35[Lote],B57,Tabla35[Cliente],C57,Tabla35[Concepto],"PENALIZACIÓN")</f>
        <v>0</v>
      </c>
      <c r="X57" s="290">
        <f t="shared" si="12"/>
        <v>0</v>
      </c>
    </row>
    <row r="58" spans="1:24" ht="14" customHeight="1">
      <c r="B58" s="424" t="s">
        <v>89</v>
      </c>
      <c r="C58" s="425">
        <f>'BASE DATOS'!C57</f>
        <v>0</v>
      </c>
      <c r="D58" s="290">
        <f>'BASE DATOS'!AA57</f>
        <v>204000</v>
      </c>
      <c r="E58" s="299">
        <f t="shared" si="13"/>
        <v>0</v>
      </c>
      <c r="F58" s="293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800</v>
      </c>
      <c r="G58" s="290">
        <f>'BASE DATOS'!AE57</f>
        <v>0</v>
      </c>
      <c r="H58" s="290">
        <f>SUMIFS(Tabla35[Abonos],Tabla35[Lote],B58,Tabla35[Cliente],C58,Tabla35[Concepto],"ABONO")</f>
        <v>0</v>
      </c>
      <c r="I58" s="293">
        <f t="shared" si="2"/>
        <v>0</v>
      </c>
      <c r="J58" s="290">
        <f>'BASE DATOS'!AF57</f>
        <v>0</v>
      </c>
      <c r="K58" s="290">
        <f>SUMIFS(Tabla35[Abonos],Tabla35[Lote],B58,Tabla35[Cliente],C58,Tabla35[Concepto],"MULTIBANK")</f>
        <v>0</v>
      </c>
      <c r="L58" s="293">
        <f t="shared" si="7"/>
        <v>0</v>
      </c>
      <c r="M58" s="290">
        <f>'BASE DATOS'!AV57</f>
        <v>0</v>
      </c>
      <c r="N58" s="290">
        <f>SUMIFS(Tabla35[Abonos],Tabla35[Lote],B58,Tabla35[Cliente],C58,Tabla35[Concepto],"GASTOS LEGALES")</f>
        <v>0</v>
      </c>
      <c r="O58" s="293">
        <f t="shared" si="8"/>
        <v>0</v>
      </c>
      <c r="P58" s="290">
        <v>500</v>
      </c>
      <c r="Q58" s="290">
        <f>SUMIFS(Tabla35[Abonos],Tabla35[Lote],B58,Tabla35[Cliente],C58,Tabla35[Concepto],"FONDO ADM")</f>
        <v>0</v>
      </c>
      <c r="R58" s="293">
        <f t="shared" si="9"/>
        <v>500</v>
      </c>
      <c r="S58" s="290">
        <v>300</v>
      </c>
      <c r="T58" s="290">
        <f>SUMIFS(Tabla35[Abonos],Tabla35[Lote],B58,Tabla35[Cliente],C58,Tabla35[Concepto],"MEDIDOR")</f>
        <v>0</v>
      </c>
      <c r="U58" s="293">
        <f t="shared" si="10"/>
        <v>300</v>
      </c>
      <c r="V58" s="290"/>
      <c r="W58" s="290">
        <f>SUMIFS(Tabla35[Abonos],Tabla35[Lote],B58,Tabla35[Cliente],C58,Tabla35[Concepto],"PENALIZACIÓN")</f>
        <v>0</v>
      </c>
      <c r="X58" s="290">
        <f t="shared" si="12"/>
        <v>0</v>
      </c>
    </row>
    <row r="59" spans="1:24" ht="14" customHeight="1">
      <c r="B59" s="426" t="s">
        <v>90</v>
      </c>
      <c r="C59" s="427">
        <f>'BASE DATOS'!C58</f>
        <v>0</v>
      </c>
      <c r="D59" s="294">
        <f>'BASE DATOS'!AA58</f>
        <v>194230.69</v>
      </c>
      <c r="E59" s="298">
        <f t="shared" si="13"/>
        <v>0</v>
      </c>
      <c r="F59" s="295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800</v>
      </c>
      <c r="G59" s="294">
        <f>'BASE DATOS'!AE58</f>
        <v>0</v>
      </c>
      <c r="H59" s="294">
        <f>SUMIFS(Tabla35[Abonos],Tabla35[Lote],B59,Tabla35[Cliente],C59,Tabla35[Concepto],"ABONO")</f>
        <v>0</v>
      </c>
      <c r="I59" s="295">
        <f t="shared" si="2"/>
        <v>0</v>
      </c>
      <c r="J59" s="294">
        <f>'BASE DATOS'!AF58</f>
        <v>0</v>
      </c>
      <c r="K59" s="294">
        <f>SUMIFS(Tabla35[Abonos],Tabla35[Lote],B59,Tabla35[Cliente],C59,Tabla35[Concepto],"MULTIBANK")</f>
        <v>0</v>
      </c>
      <c r="L59" s="295">
        <f t="shared" si="7"/>
        <v>0</v>
      </c>
      <c r="M59" s="294">
        <f>'BASE DATOS'!AV58</f>
        <v>0</v>
      </c>
      <c r="N59" s="294">
        <f>SUMIFS(Tabla35[Abonos],Tabla35[Lote],B59,Tabla35[Cliente],C59,Tabla35[Concepto],"GASTOS LEGALES")</f>
        <v>0</v>
      </c>
      <c r="O59" s="295">
        <f t="shared" si="8"/>
        <v>0</v>
      </c>
      <c r="P59" s="298">
        <v>500</v>
      </c>
      <c r="Q59" s="294">
        <f>SUMIFS(Tabla35[Abonos],Tabla35[Lote],B59,Tabla35[Cliente],C59,Tabla35[Concepto],"FONDO ADM")</f>
        <v>0</v>
      </c>
      <c r="R59" s="295">
        <f t="shared" si="9"/>
        <v>500</v>
      </c>
      <c r="S59" s="294">
        <v>300</v>
      </c>
      <c r="T59" s="294">
        <f>SUMIFS(Tabla35[Abonos],Tabla35[Lote],B59,Tabla35[Cliente],C59,Tabla35[Concepto],"MEDIDOR")</f>
        <v>0</v>
      </c>
      <c r="U59" s="295">
        <f t="shared" si="10"/>
        <v>300</v>
      </c>
      <c r="V59" s="294"/>
      <c r="W59" s="294">
        <f>SUMIFS(Tabla35[Abonos],Tabla35[Lote],B59,Tabla35[Cliente],C59,Tabla35[Concepto],"PENALIZACIÓN")</f>
        <v>0</v>
      </c>
      <c r="X59" s="294">
        <f t="shared" si="12"/>
        <v>0</v>
      </c>
    </row>
    <row r="60" spans="1:24">
      <c r="B60" s="428"/>
      <c r="C60" s="429" t="s">
        <v>91</v>
      </c>
      <c r="D60" s="430">
        <f t="shared" ref="D60:E60" si="14">SUM(D3:D59)</f>
        <v>11047419.17</v>
      </c>
      <c r="E60" s="431">
        <f t="shared" si="14"/>
        <v>1473168.23</v>
      </c>
      <c r="F60" s="432" t="e">
        <f>Tabla5[[#This Row],[PENDIENTE GISA]]+Tabla5[[#This Row],[PENDIENTE MULTIBANK]]+Tabla5[[#This Row],[PENDIENTE GASTOS LEGALES]]+Tabla5[[#This Row],[FONDO ADM PENDIENTE]]+Tabla5[[#This Row],[MEDIDOR PENDIENTE]]+Tabla5[[#This Row],[PENALIZACIÓN PENDIENTE]]</f>
        <v>#VALUE!</v>
      </c>
      <c r="G60" s="433">
        <f t="shared" ref="G60:U60" si="15">SUM(G3:G59)</f>
        <v>5578326.2349999994</v>
      </c>
      <c r="H60" s="433">
        <f t="shared" si="15"/>
        <v>4105158.0049999999</v>
      </c>
      <c r="I60" s="434">
        <f t="shared" si="15"/>
        <v>1473168.23</v>
      </c>
      <c r="J60" s="433">
        <f t="shared" si="15"/>
        <v>4599999.9950000001</v>
      </c>
      <c r="K60" s="433">
        <f t="shared" si="15"/>
        <v>4599999.9950000001</v>
      </c>
      <c r="L60" s="434">
        <f t="shared" si="15"/>
        <v>0</v>
      </c>
      <c r="M60" s="433">
        <f t="shared" si="15"/>
        <v>61044.280000000006</v>
      </c>
      <c r="N60" s="433">
        <f t="shared" si="15"/>
        <v>57891.080000000009</v>
      </c>
      <c r="O60" s="434" t="e">
        <f t="shared" si="15"/>
        <v>#VALUE!</v>
      </c>
      <c r="P60" s="433">
        <f t="shared" si="15"/>
        <v>28500</v>
      </c>
      <c r="Q60" s="433">
        <f t="shared" si="15"/>
        <v>22732.12</v>
      </c>
      <c r="R60" s="434">
        <f t="shared" si="15"/>
        <v>5767.88</v>
      </c>
      <c r="S60" s="433">
        <f t="shared" si="15"/>
        <v>17100</v>
      </c>
      <c r="T60" s="433">
        <f t="shared" si="15"/>
        <v>11700</v>
      </c>
      <c r="U60" s="435">
        <f t="shared" si="15"/>
        <v>5400</v>
      </c>
      <c r="V60" s="433">
        <f t="shared" ref="V60" si="16">SUM(V3:V59)</f>
        <v>10000</v>
      </c>
      <c r="W60" s="433">
        <f>SUM(W3:W59)</f>
        <v>1700</v>
      </c>
      <c r="X60" s="436">
        <f t="shared" si="12"/>
        <v>8300</v>
      </c>
    </row>
    <row r="61" spans="1:24" ht="16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3" spans="1:24">
      <c r="A63" s="437" t="s">
        <v>390</v>
      </c>
      <c r="B63" s="437" t="s">
        <v>391</v>
      </c>
      <c r="C63" s="437" t="s">
        <v>392</v>
      </c>
      <c r="D63" s="437" t="s">
        <v>393</v>
      </c>
      <c r="E63" s="437" t="s">
        <v>394</v>
      </c>
      <c r="F63" s="437" t="s">
        <v>413</v>
      </c>
      <c r="I63" s="438"/>
      <c r="J63" s="438"/>
      <c r="K63" s="438"/>
      <c r="L63" s="438"/>
      <c r="M63" s="438"/>
      <c r="N63" s="438"/>
      <c r="O63" s="438"/>
      <c r="P63" s="438"/>
      <c r="Q63" s="438"/>
    </row>
    <row r="64" spans="1:24">
      <c r="A64" s="439">
        <v>44986</v>
      </c>
      <c r="B64" s="423" t="s">
        <v>16</v>
      </c>
      <c r="C64" s="423" t="s">
        <v>14</v>
      </c>
      <c r="D64" s="394">
        <v>8375</v>
      </c>
      <c r="E64" s="423" t="s">
        <v>248</v>
      </c>
      <c r="F64" s="423">
        <v>43</v>
      </c>
      <c r="I64" s="438"/>
      <c r="J64" s="438"/>
      <c r="K64" s="438"/>
      <c r="L64" s="438"/>
      <c r="M64" s="438"/>
      <c r="N64" s="438"/>
      <c r="O64" s="438"/>
      <c r="P64" s="438"/>
      <c r="Q64" s="438"/>
    </row>
    <row r="65" spans="1:17">
      <c r="A65" s="439">
        <v>44993</v>
      </c>
      <c r="B65" s="423" t="s">
        <v>44</v>
      </c>
      <c r="C65" s="423" t="s">
        <v>42</v>
      </c>
      <c r="D65" s="394">
        <v>3000</v>
      </c>
      <c r="E65" s="423" t="s">
        <v>248</v>
      </c>
      <c r="F65" s="423">
        <v>51</v>
      </c>
      <c r="I65" s="466"/>
      <c r="J65" s="438"/>
      <c r="K65" s="438"/>
      <c r="L65" s="438"/>
      <c r="M65" s="438"/>
      <c r="N65" s="438"/>
      <c r="O65" s="438"/>
      <c r="P65" s="438"/>
      <c r="Q65" s="438"/>
    </row>
    <row r="66" spans="1:17">
      <c r="A66" s="439">
        <v>45008</v>
      </c>
      <c r="B66" s="423" t="s">
        <v>37</v>
      </c>
      <c r="C66" s="423" t="s">
        <v>36</v>
      </c>
      <c r="D66" s="394">
        <v>1000</v>
      </c>
      <c r="E66" s="423" t="s">
        <v>248</v>
      </c>
      <c r="F66" s="423">
        <v>62</v>
      </c>
      <c r="I66" s="438"/>
      <c r="J66" s="438"/>
      <c r="K66" s="438"/>
      <c r="L66" s="438"/>
      <c r="M66" s="438"/>
      <c r="N66" s="438"/>
      <c r="O66" s="438"/>
      <c r="P66" s="438"/>
      <c r="Q66" s="438"/>
    </row>
    <row r="67" spans="1:17">
      <c r="A67" s="439">
        <v>45016</v>
      </c>
      <c r="B67" s="423" t="s">
        <v>24</v>
      </c>
      <c r="C67" s="423" t="s">
        <v>387</v>
      </c>
      <c r="D67" s="394">
        <v>3000</v>
      </c>
      <c r="E67" s="423" t="s">
        <v>248</v>
      </c>
      <c r="F67" s="423">
        <v>53</v>
      </c>
      <c r="I67" s="438"/>
      <c r="J67" s="438"/>
      <c r="K67" s="438"/>
      <c r="L67" s="438"/>
      <c r="M67" s="438"/>
      <c r="N67" s="438"/>
      <c r="O67" s="438"/>
      <c r="P67" s="438"/>
      <c r="Q67" s="438"/>
    </row>
    <row r="68" spans="1:17">
      <c r="A68" s="439">
        <v>45016</v>
      </c>
      <c r="B68" s="423" t="s">
        <v>16</v>
      </c>
      <c r="C68" s="423" t="s">
        <v>14</v>
      </c>
      <c r="D68" s="394">
        <v>15000</v>
      </c>
      <c r="E68" s="423" t="s">
        <v>248</v>
      </c>
      <c r="F68" s="423">
        <v>54</v>
      </c>
      <c r="I68" s="438"/>
      <c r="J68" s="438"/>
      <c r="K68" s="438"/>
      <c r="L68" s="438"/>
      <c r="M68" s="438"/>
      <c r="N68" s="438"/>
      <c r="O68" s="438"/>
      <c r="P68" s="438"/>
      <c r="Q68" s="438"/>
    </row>
    <row r="69" spans="1:17">
      <c r="A69" s="439">
        <v>45020</v>
      </c>
      <c r="B69" s="423" t="s">
        <v>18</v>
      </c>
      <c r="C69" s="423" t="s">
        <v>17</v>
      </c>
      <c r="D69" s="394">
        <v>3000</v>
      </c>
      <c r="E69" s="423" t="s">
        <v>248</v>
      </c>
      <c r="F69" s="423">
        <v>57</v>
      </c>
      <c r="I69" s="438"/>
      <c r="J69" s="438"/>
      <c r="K69" s="438"/>
      <c r="L69" s="438"/>
      <c r="M69" s="438"/>
      <c r="N69" s="438"/>
      <c r="O69" s="438"/>
      <c r="P69" s="438"/>
      <c r="Q69" s="438"/>
    </row>
    <row r="70" spans="1:17">
      <c r="A70" s="439">
        <v>45024</v>
      </c>
      <c r="B70" s="423" t="s">
        <v>16</v>
      </c>
      <c r="C70" s="423" t="s">
        <v>14</v>
      </c>
      <c r="D70" s="394">
        <v>12000</v>
      </c>
      <c r="E70" s="423" t="s">
        <v>248</v>
      </c>
      <c r="F70" s="423">
        <v>58</v>
      </c>
      <c r="I70" s="438"/>
      <c r="J70" s="438"/>
      <c r="K70" s="438"/>
      <c r="L70" s="438"/>
      <c r="M70" s="438"/>
      <c r="N70" s="438"/>
      <c r="O70" s="438"/>
      <c r="P70" s="438"/>
      <c r="Q70" s="438"/>
    </row>
    <row r="71" spans="1:17">
      <c r="A71" s="439">
        <v>45030</v>
      </c>
      <c r="B71" s="423" t="s">
        <v>37</v>
      </c>
      <c r="C71" s="423" t="s">
        <v>36</v>
      </c>
      <c r="D71" s="394">
        <v>1000</v>
      </c>
      <c r="E71" s="423" t="s">
        <v>248</v>
      </c>
      <c r="F71" s="423">
        <v>65</v>
      </c>
      <c r="I71" s="438"/>
      <c r="J71" s="438"/>
      <c r="K71" s="438"/>
      <c r="L71" s="438"/>
      <c r="M71" s="438"/>
      <c r="N71" s="438"/>
      <c r="O71" s="438"/>
      <c r="P71" s="438"/>
      <c r="Q71" s="438"/>
    </row>
    <row r="72" spans="1:17">
      <c r="A72" s="439">
        <v>45036</v>
      </c>
      <c r="B72" s="423" t="s">
        <v>26</v>
      </c>
      <c r="C72" s="423" t="s">
        <v>25</v>
      </c>
      <c r="D72" s="394">
        <v>3000</v>
      </c>
      <c r="E72" s="423" t="s">
        <v>248</v>
      </c>
      <c r="F72" s="423">
        <v>61</v>
      </c>
      <c r="I72" s="438"/>
      <c r="J72" s="438"/>
      <c r="K72" s="438"/>
      <c r="L72" s="438"/>
      <c r="M72" s="438"/>
      <c r="N72" s="438"/>
      <c r="O72" s="438"/>
      <c r="P72" s="438"/>
      <c r="Q72" s="438"/>
    </row>
    <row r="73" spans="1:17">
      <c r="A73" s="439">
        <v>45043</v>
      </c>
      <c r="B73" s="423" t="s">
        <v>16</v>
      </c>
      <c r="C73" s="423" t="s">
        <v>14</v>
      </c>
      <c r="D73" s="394">
        <v>27000</v>
      </c>
      <c r="E73" s="423" t="s">
        <v>248</v>
      </c>
      <c r="F73" s="423">
        <v>66</v>
      </c>
      <c r="I73" s="438"/>
      <c r="J73" s="438"/>
      <c r="K73" s="438"/>
      <c r="L73" s="438"/>
      <c r="M73" s="438"/>
      <c r="N73" s="438"/>
      <c r="O73" s="438"/>
      <c r="P73" s="438"/>
      <c r="Q73" s="438"/>
    </row>
    <row r="74" spans="1:17">
      <c r="A74" s="439">
        <v>45045</v>
      </c>
      <c r="B74" s="423" t="s">
        <v>66</v>
      </c>
      <c r="C74" s="423" t="s">
        <v>64</v>
      </c>
      <c r="D74" s="394">
        <v>41333.599999999999</v>
      </c>
      <c r="E74" s="423" t="s">
        <v>248</v>
      </c>
      <c r="F74" s="423">
        <v>67</v>
      </c>
      <c r="H74" s="440"/>
      <c r="I74" s="438"/>
      <c r="J74" s="438"/>
      <c r="K74" s="438"/>
      <c r="L74" s="438"/>
      <c r="M74" s="438"/>
      <c r="N74" s="438"/>
      <c r="O74" s="438"/>
      <c r="P74" s="438"/>
      <c r="Q74" s="438"/>
    </row>
    <row r="75" spans="1:17">
      <c r="A75" s="439">
        <v>45045</v>
      </c>
      <c r="B75" s="423" t="s">
        <v>66</v>
      </c>
      <c r="C75" s="423" t="s">
        <v>64</v>
      </c>
      <c r="D75" s="394">
        <v>205</v>
      </c>
      <c r="E75" s="423" t="s">
        <v>125</v>
      </c>
      <c r="F75" s="423">
        <v>67</v>
      </c>
      <c r="I75" s="438"/>
      <c r="J75" s="438"/>
      <c r="K75" s="438"/>
      <c r="L75" s="438"/>
      <c r="M75" s="438"/>
      <c r="N75" s="438"/>
      <c r="O75" s="438"/>
      <c r="P75" s="438"/>
      <c r="Q75" s="438"/>
    </row>
    <row r="76" spans="1:17">
      <c r="A76" s="439">
        <v>45048</v>
      </c>
      <c r="B76" s="423" t="s">
        <v>18</v>
      </c>
      <c r="C76" s="423" t="s">
        <v>17</v>
      </c>
      <c r="D76" s="394">
        <v>37375</v>
      </c>
      <c r="E76" s="423" t="s">
        <v>248</v>
      </c>
      <c r="F76" s="423">
        <v>71</v>
      </c>
      <c r="I76" s="438"/>
      <c r="J76" s="438"/>
      <c r="K76" s="438"/>
      <c r="L76" s="438"/>
      <c r="M76" s="438"/>
      <c r="N76" s="438"/>
      <c r="O76" s="438"/>
      <c r="P76" s="438"/>
      <c r="Q76" s="438"/>
    </row>
    <row r="77" spans="1:17">
      <c r="A77" s="439">
        <v>45055</v>
      </c>
      <c r="B77" s="423" t="s">
        <v>26</v>
      </c>
      <c r="C77" s="423" t="s">
        <v>25</v>
      </c>
      <c r="D77" s="394">
        <v>9000</v>
      </c>
      <c r="E77" s="423" t="s">
        <v>248</v>
      </c>
      <c r="F77" s="423">
        <v>72</v>
      </c>
      <c r="I77" s="438"/>
      <c r="J77" s="438"/>
      <c r="K77" s="438"/>
      <c r="L77" s="438"/>
      <c r="M77" s="438"/>
      <c r="N77" s="438"/>
      <c r="O77" s="438"/>
      <c r="P77" s="438"/>
      <c r="Q77" s="438"/>
    </row>
    <row r="78" spans="1:17">
      <c r="A78" s="439">
        <v>45063</v>
      </c>
      <c r="B78" s="423" t="s">
        <v>26</v>
      </c>
      <c r="C78" s="423" t="s">
        <v>25</v>
      </c>
      <c r="D78" s="394">
        <v>8000</v>
      </c>
      <c r="E78" s="423" t="s">
        <v>248</v>
      </c>
      <c r="F78" s="423">
        <v>73</v>
      </c>
      <c r="I78" s="438"/>
      <c r="J78" s="438"/>
      <c r="K78" s="438"/>
      <c r="L78" s="438"/>
      <c r="M78" s="438"/>
      <c r="N78" s="438"/>
      <c r="O78" s="438"/>
      <c r="P78" s="438"/>
      <c r="Q78" s="438"/>
    </row>
    <row r="79" spans="1:17">
      <c r="A79" s="439">
        <v>45075</v>
      </c>
      <c r="B79" s="423" t="s">
        <v>26</v>
      </c>
      <c r="C79" s="423" t="s">
        <v>25</v>
      </c>
      <c r="D79" s="394">
        <v>9500</v>
      </c>
      <c r="E79" s="423" t="s">
        <v>248</v>
      </c>
      <c r="F79" s="423">
        <v>74</v>
      </c>
      <c r="I79" s="438"/>
      <c r="J79" s="438"/>
      <c r="K79" s="438"/>
      <c r="L79" s="438"/>
      <c r="M79" s="438"/>
      <c r="N79" s="438"/>
      <c r="O79" s="438"/>
      <c r="P79" s="438"/>
      <c r="Q79" s="438"/>
    </row>
    <row r="80" spans="1:17">
      <c r="A80" s="439">
        <v>45076</v>
      </c>
      <c r="B80" s="423" t="s">
        <v>16</v>
      </c>
      <c r="C80" s="423" t="s">
        <v>14</v>
      </c>
      <c r="D80" s="394">
        <v>27000</v>
      </c>
      <c r="E80" s="423" t="s">
        <v>248</v>
      </c>
      <c r="F80" s="423">
        <v>75</v>
      </c>
      <c r="I80" s="438"/>
      <c r="J80" s="438"/>
      <c r="K80" s="438"/>
      <c r="L80" s="438"/>
      <c r="M80" s="438"/>
      <c r="N80" s="438"/>
      <c r="O80" s="438"/>
      <c r="P80" s="438"/>
      <c r="Q80" s="438"/>
    </row>
    <row r="81" spans="1:17">
      <c r="A81" s="439">
        <v>45079</v>
      </c>
      <c r="B81" s="423" t="s">
        <v>26</v>
      </c>
      <c r="C81" s="423" t="s">
        <v>25</v>
      </c>
      <c r="D81" s="394">
        <v>4000</v>
      </c>
      <c r="E81" s="423" t="s">
        <v>248</v>
      </c>
      <c r="F81" s="423">
        <v>76</v>
      </c>
      <c r="I81" s="438"/>
      <c r="J81" s="438"/>
      <c r="K81" s="438"/>
      <c r="L81" s="438"/>
      <c r="M81" s="438"/>
      <c r="N81" s="438"/>
      <c r="O81" s="438"/>
      <c r="P81" s="438"/>
      <c r="Q81" s="438"/>
    </row>
    <row r="82" spans="1:17">
      <c r="A82" s="439">
        <v>45079</v>
      </c>
      <c r="B82" s="423" t="s">
        <v>26</v>
      </c>
      <c r="C82" s="423" t="s">
        <v>25</v>
      </c>
      <c r="D82" s="394">
        <v>1500</v>
      </c>
      <c r="E82" s="423" t="s">
        <v>248</v>
      </c>
      <c r="F82" s="423">
        <v>77</v>
      </c>
      <c r="I82" s="438"/>
      <c r="J82" s="438"/>
      <c r="K82" s="438"/>
      <c r="L82" s="438"/>
      <c r="M82" s="438"/>
      <c r="N82" s="438"/>
      <c r="O82" s="438"/>
      <c r="P82" s="438"/>
      <c r="Q82" s="438"/>
    </row>
    <row r="83" spans="1:17">
      <c r="A83" s="439">
        <v>45091</v>
      </c>
      <c r="B83" s="423" t="s">
        <v>18</v>
      </c>
      <c r="C83" s="423" t="s">
        <v>17</v>
      </c>
      <c r="D83" s="394">
        <v>43217</v>
      </c>
      <c r="E83" s="423" t="s">
        <v>248</v>
      </c>
      <c r="F83" s="423">
        <v>81</v>
      </c>
      <c r="I83" s="438"/>
      <c r="J83" s="438"/>
      <c r="K83" s="438"/>
      <c r="L83" s="438"/>
      <c r="M83" s="438"/>
      <c r="N83" s="438"/>
      <c r="O83" s="438"/>
      <c r="P83" s="438"/>
      <c r="Q83" s="438"/>
    </row>
    <row r="84" spans="1:17">
      <c r="A84" s="439">
        <v>45093</v>
      </c>
      <c r="B84" s="423" t="s">
        <v>24</v>
      </c>
      <c r="C84" s="423" t="s">
        <v>387</v>
      </c>
      <c r="D84" s="394">
        <v>47436.45</v>
      </c>
      <c r="E84" s="423" t="s">
        <v>248</v>
      </c>
      <c r="F84" s="423">
        <v>80</v>
      </c>
      <c r="I84" s="438"/>
      <c r="J84" s="438"/>
      <c r="K84" s="438"/>
      <c r="L84" s="438"/>
      <c r="M84" s="438"/>
      <c r="N84" s="438"/>
      <c r="O84" s="438"/>
      <c r="P84" s="438"/>
      <c r="Q84" s="438"/>
    </row>
    <row r="85" spans="1:17">
      <c r="A85" s="439">
        <v>45107</v>
      </c>
      <c r="B85" s="423" t="s">
        <v>38</v>
      </c>
      <c r="C85" s="423" t="s">
        <v>294</v>
      </c>
      <c r="D85" s="394">
        <v>3000</v>
      </c>
      <c r="E85" s="423" t="s">
        <v>248</v>
      </c>
      <c r="F85" s="423">
        <v>82</v>
      </c>
      <c r="I85" s="438"/>
      <c r="J85" s="438"/>
      <c r="K85" s="438"/>
      <c r="L85" s="438"/>
      <c r="M85" s="438"/>
      <c r="N85" s="438"/>
      <c r="O85" s="438"/>
      <c r="P85" s="438"/>
      <c r="Q85" s="438"/>
    </row>
    <row r="86" spans="1:17">
      <c r="A86" s="439">
        <v>45113</v>
      </c>
      <c r="B86" s="423" t="s">
        <v>29</v>
      </c>
      <c r="C86" s="423" t="s">
        <v>33</v>
      </c>
      <c r="D86" s="394">
        <v>3000</v>
      </c>
      <c r="E86" s="423" t="s">
        <v>248</v>
      </c>
      <c r="F86" s="423">
        <v>78</v>
      </c>
      <c r="I86" s="438"/>
      <c r="J86" s="438"/>
      <c r="K86" s="438"/>
      <c r="L86" s="438"/>
      <c r="M86" s="438"/>
      <c r="N86" s="438"/>
      <c r="O86" s="438"/>
      <c r="P86" s="438"/>
      <c r="Q86" s="438"/>
    </row>
    <row r="87" spans="1:17">
      <c r="A87" s="439">
        <v>45116</v>
      </c>
      <c r="B87" s="423" t="s">
        <v>55</v>
      </c>
      <c r="C87" s="423" t="s">
        <v>331</v>
      </c>
      <c r="D87" s="394">
        <v>3000</v>
      </c>
      <c r="E87" s="423" t="s">
        <v>248</v>
      </c>
      <c r="F87" s="423">
        <v>251</v>
      </c>
      <c r="I87" s="438"/>
      <c r="J87" s="438"/>
      <c r="K87" s="438"/>
      <c r="L87" s="438"/>
      <c r="M87" s="438"/>
      <c r="N87" s="438"/>
      <c r="O87" s="438"/>
      <c r="P87" s="438"/>
      <c r="Q87" s="438"/>
    </row>
    <row r="88" spans="1:17">
      <c r="A88" s="439">
        <v>45117</v>
      </c>
      <c r="B88" s="423" t="s">
        <v>21</v>
      </c>
      <c r="C88" s="423" t="s">
        <v>19</v>
      </c>
      <c r="D88" s="394">
        <v>3000</v>
      </c>
      <c r="E88" s="423" t="s">
        <v>248</v>
      </c>
      <c r="F88" s="423">
        <v>93</v>
      </c>
      <c r="I88" s="438"/>
      <c r="J88" s="438"/>
      <c r="K88" s="438"/>
      <c r="L88" s="438"/>
      <c r="M88" s="438"/>
      <c r="N88" s="438"/>
      <c r="O88" s="438"/>
      <c r="P88" s="438"/>
      <c r="Q88" s="438"/>
    </row>
    <row r="89" spans="1:17">
      <c r="A89" s="439">
        <v>45125</v>
      </c>
      <c r="B89" s="423" t="s">
        <v>41</v>
      </c>
      <c r="C89" s="423" t="s">
        <v>39</v>
      </c>
      <c r="D89" s="394">
        <v>3000</v>
      </c>
      <c r="E89" s="423" t="s">
        <v>248</v>
      </c>
      <c r="F89" s="423">
        <v>85</v>
      </c>
      <c r="I89" s="438"/>
      <c r="J89" s="438"/>
      <c r="K89" s="438"/>
      <c r="L89" s="438"/>
      <c r="M89" s="438"/>
      <c r="N89" s="438"/>
      <c r="O89" s="438"/>
      <c r="P89" s="438"/>
      <c r="Q89" s="438"/>
    </row>
    <row r="90" spans="1:17">
      <c r="A90" s="439">
        <v>45131</v>
      </c>
      <c r="B90" s="423" t="s">
        <v>44</v>
      </c>
      <c r="C90" s="423" t="s">
        <v>42</v>
      </c>
      <c r="D90" s="394">
        <v>45458.55</v>
      </c>
      <c r="E90" s="423" t="s">
        <v>248</v>
      </c>
      <c r="F90" s="423">
        <v>87</v>
      </c>
      <c r="I90" s="438"/>
      <c r="J90" s="438"/>
      <c r="K90" s="438"/>
      <c r="L90" s="438"/>
      <c r="M90" s="438"/>
      <c r="N90" s="438"/>
      <c r="O90" s="438"/>
      <c r="P90" s="438"/>
      <c r="Q90" s="438"/>
    </row>
    <row r="91" spans="1:17">
      <c r="A91" s="439">
        <v>45134</v>
      </c>
      <c r="B91" s="423" t="s">
        <v>21</v>
      </c>
      <c r="C91" s="423" t="s">
        <v>19</v>
      </c>
      <c r="D91" s="394">
        <v>34275.9</v>
      </c>
      <c r="E91" s="423" t="s">
        <v>248</v>
      </c>
      <c r="F91" s="423">
        <v>71</v>
      </c>
      <c r="I91" s="438"/>
      <c r="J91" s="438"/>
      <c r="K91" s="438"/>
      <c r="L91" s="438"/>
      <c r="M91" s="438"/>
      <c r="N91" s="438"/>
      <c r="O91" s="438"/>
      <c r="P91" s="438"/>
      <c r="Q91" s="438"/>
    </row>
    <row r="92" spans="1:17">
      <c r="A92" s="439">
        <v>45134</v>
      </c>
      <c r="B92" s="423" t="s">
        <v>37</v>
      </c>
      <c r="C92" s="423" t="s">
        <v>36</v>
      </c>
      <c r="D92" s="394">
        <v>20000</v>
      </c>
      <c r="E92" s="423" t="s">
        <v>248</v>
      </c>
      <c r="F92" s="423">
        <v>91</v>
      </c>
      <c r="I92" s="438"/>
      <c r="J92" s="438"/>
      <c r="K92" s="438"/>
      <c r="L92" s="438"/>
      <c r="M92" s="438"/>
      <c r="N92" s="438"/>
      <c r="O92" s="438"/>
      <c r="P92" s="438"/>
      <c r="Q92" s="438"/>
    </row>
    <row r="93" spans="1:17">
      <c r="A93" s="439">
        <v>45139</v>
      </c>
      <c r="B93" s="423" t="s">
        <v>11</v>
      </c>
      <c r="C93" s="423" t="s">
        <v>9</v>
      </c>
      <c r="D93" s="394">
        <v>3000</v>
      </c>
      <c r="E93" s="423" t="s">
        <v>248</v>
      </c>
      <c r="F93" s="423">
        <v>92</v>
      </c>
      <c r="I93" s="438"/>
      <c r="J93" s="438"/>
      <c r="K93" s="438"/>
      <c r="L93" s="438"/>
      <c r="M93" s="438"/>
      <c r="N93" s="438"/>
      <c r="O93" s="438"/>
      <c r="P93" s="438"/>
      <c r="Q93" s="438"/>
    </row>
    <row r="94" spans="1:17">
      <c r="A94" s="441">
        <v>45141</v>
      </c>
      <c r="B94" s="423" t="s">
        <v>3</v>
      </c>
      <c r="C94" s="423" t="s">
        <v>1</v>
      </c>
      <c r="D94" s="394">
        <v>3000</v>
      </c>
      <c r="E94" s="423" t="s">
        <v>248</v>
      </c>
      <c r="F94" s="423">
        <v>52</v>
      </c>
      <c r="I94" s="438"/>
      <c r="J94" s="438"/>
      <c r="K94" s="438"/>
      <c r="L94" s="438"/>
      <c r="M94" s="438"/>
      <c r="N94" s="438"/>
      <c r="O94" s="438"/>
      <c r="P94" s="438"/>
      <c r="Q94" s="438"/>
    </row>
    <row r="95" spans="1:17">
      <c r="A95" s="439">
        <v>45141</v>
      </c>
      <c r="B95" s="423" t="s">
        <v>13</v>
      </c>
      <c r="C95" s="423" t="s">
        <v>12</v>
      </c>
      <c r="D95" s="394">
        <v>3000</v>
      </c>
      <c r="E95" s="423" t="s">
        <v>248</v>
      </c>
      <c r="F95" s="423">
        <v>93</v>
      </c>
      <c r="I95" s="438"/>
      <c r="J95" s="438"/>
      <c r="K95" s="438"/>
      <c r="L95" s="438"/>
      <c r="M95" s="438"/>
      <c r="N95" s="438"/>
      <c r="O95" s="438"/>
      <c r="P95" s="438"/>
      <c r="Q95" s="438"/>
    </row>
    <row r="96" spans="1:17">
      <c r="A96" s="439">
        <v>45147</v>
      </c>
      <c r="B96" s="423" t="s">
        <v>11</v>
      </c>
      <c r="C96" s="423" t="s">
        <v>9</v>
      </c>
      <c r="D96" s="394">
        <v>34275.9</v>
      </c>
      <c r="E96" s="423" t="s">
        <v>248</v>
      </c>
      <c r="F96" s="423">
        <v>99</v>
      </c>
      <c r="I96" s="438"/>
      <c r="J96" s="438"/>
      <c r="K96" s="438"/>
      <c r="L96" s="438"/>
      <c r="M96" s="438"/>
      <c r="N96" s="438"/>
      <c r="O96" s="438"/>
      <c r="P96" s="438"/>
      <c r="Q96" s="438"/>
    </row>
    <row r="97" spans="1:17">
      <c r="A97" s="441">
        <v>45161</v>
      </c>
      <c r="B97" s="423" t="s">
        <v>3</v>
      </c>
      <c r="C97" s="423" t="s">
        <v>1</v>
      </c>
      <c r="D97" s="394">
        <v>27436.45</v>
      </c>
      <c r="E97" s="423" t="s">
        <v>248</v>
      </c>
      <c r="F97" s="423">
        <v>95</v>
      </c>
      <c r="I97" s="438"/>
      <c r="J97" s="438"/>
      <c r="K97" s="438"/>
      <c r="L97" s="438"/>
      <c r="M97" s="438"/>
      <c r="N97" s="438"/>
      <c r="O97" s="438"/>
      <c r="P97" s="438"/>
      <c r="Q97" s="438"/>
    </row>
    <row r="98" spans="1:17">
      <c r="A98" s="439">
        <v>45170</v>
      </c>
      <c r="B98" s="423" t="s">
        <v>41</v>
      </c>
      <c r="C98" s="423" t="s">
        <v>39</v>
      </c>
      <c r="D98" s="394">
        <v>41055.9</v>
      </c>
      <c r="E98" s="423" t="s">
        <v>248</v>
      </c>
      <c r="F98" s="423">
        <v>96</v>
      </c>
      <c r="I98" s="438"/>
      <c r="J98" s="438"/>
      <c r="K98" s="438"/>
      <c r="L98" s="438"/>
      <c r="M98" s="438"/>
      <c r="N98" s="438"/>
      <c r="O98" s="438"/>
      <c r="P98" s="438"/>
      <c r="Q98" s="438"/>
    </row>
    <row r="99" spans="1:17">
      <c r="A99" s="441">
        <v>45174</v>
      </c>
      <c r="B99" s="423" t="s">
        <v>3</v>
      </c>
      <c r="C99" s="423" t="s">
        <v>1</v>
      </c>
      <c r="D99" s="394">
        <v>20000</v>
      </c>
      <c r="E99" s="423" t="s">
        <v>248</v>
      </c>
      <c r="F99" s="423">
        <v>97</v>
      </c>
      <c r="I99" s="438"/>
      <c r="J99" s="438"/>
      <c r="K99" s="438"/>
      <c r="L99" s="438"/>
      <c r="M99" s="438"/>
      <c r="N99" s="438"/>
      <c r="O99" s="438"/>
      <c r="P99" s="438"/>
      <c r="Q99" s="438"/>
    </row>
    <row r="100" spans="1:17">
      <c r="A100" s="439">
        <v>45182</v>
      </c>
      <c r="B100" s="423" t="s">
        <v>47</v>
      </c>
      <c r="C100" s="423" t="s">
        <v>45</v>
      </c>
      <c r="D100" s="394">
        <v>3000</v>
      </c>
      <c r="E100" s="423" t="s">
        <v>248</v>
      </c>
      <c r="F100" s="423">
        <v>100</v>
      </c>
      <c r="I100" s="438"/>
      <c r="J100" s="438"/>
      <c r="K100" s="438"/>
      <c r="L100" s="438"/>
      <c r="M100" s="438"/>
      <c r="N100" s="438"/>
      <c r="O100" s="438"/>
      <c r="P100" s="438"/>
      <c r="Q100" s="438"/>
    </row>
    <row r="101" spans="1:17">
      <c r="A101" s="439">
        <v>45182</v>
      </c>
      <c r="B101" s="423" t="s">
        <v>29</v>
      </c>
      <c r="C101" s="423" t="s">
        <v>33</v>
      </c>
      <c r="D101" s="394">
        <v>10000</v>
      </c>
      <c r="E101" s="423" t="s">
        <v>248</v>
      </c>
      <c r="F101" s="423">
        <v>101</v>
      </c>
      <c r="I101" s="438"/>
      <c r="J101" s="438"/>
      <c r="K101" s="438"/>
      <c r="L101" s="438"/>
      <c r="M101" s="438"/>
      <c r="N101" s="438"/>
      <c r="O101" s="438"/>
      <c r="P101" s="438"/>
      <c r="Q101" s="438"/>
    </row>
    <row r="102" spans="1:17">
      <c r="A102" s="439">
        <v>45195</v>
      </c>
      <c r="B102" s="423" t="s">
        <v>26</v>
      </c>
      <c r="C102" s="423" t="s">
        <v>25</v>
      </c>
      <c r="D102" s="394">
        <v>6000</v>
      </c>
      <c r="E102" s="423" t="s">
        <v>248</v>
      </c>
      <c r="F102" s="423">
        <v>102</v>
      </c>
      <c r="I102" s="438"/>
      <c r="J102" s="438"/>
      <c r="K102" s="438"/>
      <c r="L102" s="438"/>
      <c r="M102" s="438"/>
      <c r="N102" s="438"/>
      <c r="O102" s="438"/>
      <c r="P102" s="438"/>
      <c r="Q102" s="438"/>
    </row>
    <row r="103" spans="1:17">
      <c r="A103" s="439">
        <v>45198</v>
      </c>
      <c r="B103" s="423" t="s">
        <v>29</v>
      </c>
      <c r="C103" s="423" t="s">
        <v>33</v>
      </c>
      <c r="D103" s="394">
        <v>40000</v>
      </c>
      <c r="E103" s="423" t="s">
        <v>248</v>
      </c>
      <c r="F103" s="423">
        <v>103</v>
      </c>
      <c r="I103" s="438"/>
      <c r="J103" s="438"/>
      <c r="K103" s="438"/>
      <c r="L103" s="438"/>
      <c r="M103" s="438"/>
      <c r="N103" s="438"/>
      <c r="O103" s="438"/>
      <c r="P103" s="438"/>
      <c r="Q103" s="438"/>
    </row>
    <row r="104" spans="1:17">
      <c r="A104" s="439">
        <v>45209</v>
      </c>
      <c r="B104" s="423" t="s">
        <v>7</v>
      </c>
      <c r="C104" s="423" t="s">
        <v>5</v>
      </c>
      <c r="D104" s="394">
        <v>3000</v>
      </c>
      <c r="E104" s="423" t="s">
        <v>248</v>
      </c>
      <c r="F104" s="423">
        <v>104</v>
      </c>
      <c r="I104" s="438"/>
      <c r="J104" s="438"/>
      <c r="K104" s="438"/>
      <c r="L104" s="438"/>
      <c r="M104" s="438"/>
      <c r="N104" s="438"/>
      <c r="O104" s="438"/>
      <c r="P104" s="438"/>
      <c r="Q104" s="438"/>
    </row>
    <row r="105" spans="1:17">
      <c r="A105" s="439">
        <v>45224</v>
      </c>
      <c r="B105" s="423" t="s">
        <v>32</v>
      </c>
      <c r="C105" s="423" t="s">
        <v>384</v>
      </c>
      <c r="D105" s="394">
        <v>3000</v>
      </c>
      <c r="E105" s="423" t="s">
        <v>248</v>
      </c>
      <c r="F105" s="423">
        <v>107</v>
      </c>
      <c r="I105" s="438"/>
      <c r="J105" s="438"/>
      <c r="K105" s="438"/>
      <c r="L105" s="438"/>
      <c r="M105" s="438"/>
      <c r="N105" s="438"/>
      <c r="O105" s="438"/>
      <c r="P105" s="438"/>
      <c r="Q105" s="438"/>
    </row>
    <row r="106" spans="1:17">
      <c r="A106" s="439">
        <v>45225</v>
      </c>
      <c r="B106" s="423" t="s">
        <v>37</v>
      </c>
      <c r="C106" s="423" t="s">
        <v>36</v>
      </c>
      <c r="D106" s="394">
        <v>5000</v>
      </c>
      <c r="E106" s="423" t="s">
        <v>248</v>
      </c>
      <c r="F106" s="423">
        <v>108</v>
      </c>
      <c r="I106" s="438"/>
      <c r="J106" s="438"/>
      <c r="K106" s="438"/>
      <c r="L106" s="438"/>
      <c r="M106" s="438"/>
      <c r="N106" s="438"/>
      <c r="O106" s="438"/>
      <c r="P106" s="438"/>
      <c r="Q106" s="438"/>
    </row>
    <row r="107" spans="1:17">
      <c r="A107" s="439">
        <v>45231</v>
      </c>
      <c r="B107" s="423" t="s">
        <v>47</v>
      </c>
      <c r="C107" s="423" t="s">
        <v>45</v>
      </c>
      <c r="D107" s="394">
        <v>57600</v>
      </c>
      <c r="E107" s="423" t="s">
        <v>248</v>
      </c>
      <c r="F107" s="423">
        <v>109</v>
      </c>
      <c r="I107" s="438"/>
      <c r="J107" s="438"/>
      <c r="K107" s="438"/>
      <c r="L107" s="438"/>
      <c r="M107" s="438"/>
      <c r="N107" s="438"/>
      <c r="O107" s="438"/>
      <c r="P107" s="438"/>
      <c r="Q107" s="438"/>
    </row>
    <row r="108" spans="1:17">
      <c r="A108" s="439">
        <v>45243</v>
      </c>
      <c r="B108" s="423" t="s">
        <v>11</v>
      </c>
      <c r="C108" s="423" t="s">
        <v>9</v>
      </c>
      <c r="D108" s="394">
        <v>18637.95</v>
      </c>
      <c r="E108" s="423" t="s">
        <v>248</v>
      </c>
      <c r="F108" s="423">
        <v>110</v>
      </c>
      <c r="I108" s="438"/>
      <c r="J108" s="438"/>
      <c r="K108" s="438"/>
      <c r="L108" s="438"/>
      <c r="M108" s="438"/>
      <c r="N108" s="438"/>
      <c r="O108" s="438"/>
      <c r="P108" s="438"/>
      <c r="Q108" s="438"/>
    </row>
    <row r="109" spans="1:17">
      <c r="A109" s="439">
        <v>45243</v>
      </c>
      <c r="B109" s="423" t="s">
        <v>11</v>
      </c>
      <c r="C109" s="423" t="s">
        <v>9</v>
      </c>
      <c r="D109" s="394">
        <v>300</v>
      </c>
      <c r="E109" s="423" t="s">
        <v>125</v>
      </c>
      <c r="F109" s="423">
        <v>110</v>
      </c>
      <c r="I109" s="438"/>
      <c r="J109" s="438"/>
      <c r="K109" s="438"/>
      <c r="L109" s="438"/>
      <c r="M109" s="438"/>
      <c r="N109" s="438"/>
      <c r="O109" s="438"/>
      <c r="P109" s="438"/>
      <c r="Q109" s="438"/>
    </row>
    <row r="110" spans="1:17">
      <c r="A110" s="439">
        <v>45259</v>
      </c>
      <c r="B110" s="423" t="s">
        <v>32</v>
      </c>
      <c r="C110" s="423" t="s">
        <v>384</v>
      </c>
      <c r="D110" s="394">
        <v>58626.69</v>
      </c>
      <c r="E110" s="423" t="s">
        <v>248</v>
      </c>
      <c r="F110" s="423">
        <v>111</v>
      </c>
      <c r="I110" s="438"/>
      <c r="J110" s="438"/>
      <c r="K110" s="438"/>
      <c r="L110" s="438"/>
      <c r="M110" s="438"/>
      <c r="N110" s="438"/>
      <c r="O110" s="438"/>
      <c r="P110" s="438"/>
      <c r="Q110" s="438"/>
    </row>
    <row r="111" spans="1:17">
      <c r="A111" s="439">
        <v>45259</v>
      </c>
      <c r="B111" s="423" t="s">
        <v>29</v>
      </c>
      <c r="C111" s="423" t="s">
        <v>33</v>
      </c>
      <c r="D111" s="394">
        <v>15000</v>
      </c>
      <c r="E111" s="423" t="s">
        <v>248</v>
      </c>
      <c r="F111" s="423">
        <v>113</v>
      </c>
      <c r="I111" s="438"/>
      <c r="J111" s="438"/>
      <c r="K111" s="438"/>
      <c r="L111" s="438"/>
      <c r="M111" s="438"/>
      <c r="N111" s="438"/>
      <c r="O111" s="438"/>
      <c r="P111" s="438"/>
      <c r="Q111" s="438"/>
    </row>
    <row r="112" spans="1:17">
      <c r="A112" s="439">
        <v>45265</v>
      </c>
      <c r="B112" s="423" t="s">
        <v>23</v>
      </c>
      <c r="C112" s="423" t="s">
        <v>22</v>
      </c>
      <c r="D112" s="394">
        <v>3000</v>
      </c>
      <c r="E112" s="423" t="s">
        <v>248</v>
      </c>
      <c r="F112" s="423">
        <v>114</v>
      </c>
      <c r="I112" s="438"/>
      <c r="J112" s="438"/>
      <c r="K112" s="438"/>
      <c r="L112" s="438"/>
      <c r="M112" s="438"/>
      <c r="N112" s="438"/>
      <c r="O112" s="438"/>
      <c r="P112" s="438"/>
      <c r="Q112" s="438"/>
    </row>
    <row r="113" spans="1:17">
      <c r="A113" s="439">
        <v>45294</v>
      </c>
      <c r="B113" s="423" t="s">
        <v>49</v>
      </c>
      <c r="C113" s="423" t="s">
        <v>48</v>
      </c>
      <c r="D113" s="394">
        <v>3000</v>
      </c>
      <c r="E113" s="423" t="s">
        <v>248</v>
      </c>
      <c r="F113" s="423">
        <v>117</v>
      </c>
      <c r="I113" s="438"/>
      <c r="J113" s="438"/>
      <c r="K113" s="438"/>
      <c r="L113" s="438"/>
      <c r="M113" s="438"/>
      <c r="N113" s="438"/>
      <c r="O113" s="438"/>
      <c r="P113" s="438"/>
      <c r="Q113" s="438"/>
    </row>
    <row r="114" spans="1:17">
      <c r="A114" s="439">
        <v>45295</v>
      </c>
      <c r="B114" s="423" t="s">
        <v>7</v>
      </c>
      <c r="C114" s="423" t="s">
        <v>5</v>
      </c>
      <c r="D114" s="394">
        <v>58532.13</v>
      </c>
      <c r="E114" s="423" t="s">
        <v>248</v>
      </c>
      <c r="F114" s="423">
        <v>116</v>
      </c>
      <c r="I114" s="438"/>
      <c r="J114" s="438"/>
      <c r="K114" s="438"/>
      <c r="L114" s="438"/>
      <c r="M114" s="438"/>
      <c r="N114" s="438"/>
      <c r="O114" s="438"/>
      <c r="P114" s="438"/>
      <c r="Q114" s="438"/>
    </row>
    <row r="115" spans="1:17">
      <c r="A115" s="439">
        <v>45296</v>
      </c>
      <c r="B115" s="423" t="s">
        <v>77</v>
      </c>
      <c r="C115" s="423" t="s">
        <v>75</v>
      </c>
      <c r="D115" s="394">
        <v>1200</v>
      </c>
      <c r="E115" s="423" t="s">
        <v>248</v>
      </c>
      <c r="F115" s="423">
        <v>121</v>
      </c>
      <c r="H115" s="440"/>
      <c r="I115" s="438"/>
      <c r="J115" s="438"/>
      <c r="K115" s="438"/>
      <c r="L115" s="438"/>
      <c r="M115" s="438"/>
      <c r="N115" s="438"/>
      <c r="O115" s="438"/>
      <c r="P115" s="438"/>
      <c r="Q115" s="438"/>
    </row>
    <row r="116" spans="1:17">
      <c r="A116" s="439">
        <v>45311</v>
      </c>
      <c r="B116" s="423" t="s">
        <v>16</v>
      </c>
      <c r="C116" s="423" t="s">
        <v>14</v>
      </c>
      <c r="D116" s="394">
        <v>24069.75</v>
      </c>
      <c r="E116" s="423" t="s">
        <v>248</v>
      </c>
      <c r="F116" s="423">
        <v>122</v>
      </c>
      <c r="I116" s="438"/>
      <c r="J116" s="438"/>
      <c r="K116" s="438"/>
      <c r="L116" s="438"/>
      <c r="M116" s="438"/>
      <c r="N116" s="438"/>
      <c r="O116" s="438"/>
      <c r="P116" s="438"/>
      <c r="Q116" s="438"/>
    </row>
    <row r="117" spans="1:17">
      <c r="A117" s="439">
        <v>45311</v>
      </c>
      <c r="B117" s="423" t="s">
        <v>16</v>
      </c>
      <c r="C117" s="423" t="s">
        <v>14</v>
      </c>
      <c r="D117" s="394">
        <v>6555.25</v>
      </c>
      <c r="E117" s="423" t="s">
        <v>125</v>
      </c>
      <c r="F117" s="423">
        <v>122</v>
      </c>
      <c r="I117" s="438"/>
      <c r="J117" s="438"/>
      <c r="K117" s="438"/>
      <c r="L117" s="438"/>
      <c r="M117" s="438"/>
      <c r="N117" s="438"/>
      <c r="O117" s="438"/>
      <c r="P117" s="438"/>
      <c r="Q117" s="438"/>
    </row>
    <row r="118" spans="1:17">
      <c r="A118" s="439">
        <v>45315</v>
      </c>
      <c r="B118" s="423" t="s">
        <v>37</v>
      </c>
      <c r="C118" s="423" t="s">
        <v>36</v>
      </c>
      <c r="D118" s="394">
        <v>38000</v>
      </c>
      <c r="E118" s="423" t="s">
        <v>248</v>
      </c>
      <c r="F118" s="423">
        <v>123</v>
      </c>
      <c r="I118" s="438"/>
      <c r="J118" s="438"/>
      <c r="K118" s="438"/>
      <c r="L118" s="438"/>
      <c r="M118" s="438"/>
      <c r="N118" s="438"/>
      <c r="O118" s="438"/>
      <c r="P118" s="438"/>
      <c r="Q118" s="438"/>
    </row>
    <row r="119" spans="1:17">
      <c r="A119" s="439">
        <v>45320</v>
      </c>
      <c r="B119" s="423" t="s">
        <v>77</v>
      </c>
      <c r="C119" s="423" t="s">
        <v>75</v>
      </c>
      <c r="D119" s="394">
        <v>1200</v>
      </c>
      <c r="E119" s="423" t="s">
        <v>248</v>
      </c>
      <c r="F119" s="423">
        <v>125</v>
      </c>
      <c r="I119" s="438"/>
      <c r="J119" s="438"/>
      <c r="K119" s="438"/>
      <c r="L119" s="438"/>
      <c r="M119" s="438"/>
      <c r="N119" s="438"/>
      <c r="O119" s="438"/>
      <c r="P119" s="438"/>
      <c r="Q119" s="438"/>
    </row>
    <row r="120" spans="1:17">
      <c r="A120" s="439">
        <v>45320</v>
      </c>
      <c r="B120" s="423" t="s">
        <v>16</v>
      </c>
      <c r="C120" s="423" t="s">
        <v>14</v>
      </c>
      <c r="D120" s="394">
        <v>50000</v>
      </c>
      <c r="E120" s="423" t="s">
        <v>125</v>
      </c>
      <c r="F120" s="423">
        <v>126</v>
      </c>
      <c r="I120" s="438"/>
      <c r="J120" s="438"/>
      <c r="K120" s="438"/>
      <c r="L120" s="438"/>
      <c r="M120" s="438"/>
      <c r="N120" s="438"/>
      <c r="O120" s="438"/>
      <c r="P120" s="438"/>
      <c r="Q120" s="438"/>
    </row>
    <row r="121" spans="1:17">
      <c r="A121" s="439">
        <v>45322</v>
      </c>
      <c r="B121" s="423" t="s">
        <v>29</v>
      </c>
      <c r="C121" s="423" t="s">
        <v>33</v>
      </c>
      <c r="D121" s="394">
        <v>10000</v>
      </c>
      <c r="E121" s="423" t="s">
        <v>248</v>
      </c>
      <c r="F121" s="423">
        <v>127</v>
      </c>
      <c r="I121" s="438"/>
      <c r="J121" s="438"/>
      <c r="K121" s="438"/>
      <c r="L121" s="438"/>
      <c r="M121" s="438"/>
      <c r="N121" s="438"/>
      <c r="O121" s="438"/>
      <c r="P121" s="438"/>
      <c r="Q121" s="438"/>
    </row>
    <row r="122" spans="1:17">
      <c r="A122" s="439">
        <v>45324</v>
      </c>
      <c r="B122" s="423" t="s">
        <v>29</v>
      </c>
      <c r="C122" s="423" t="s">
        <v>33</v>
      </c>
      <c r="D122" s="394">
        <v>3400</v>
      </c>
      <c r="E122" s="423" t="s">
        <v>248</v>
      </c>
      <c r="F122" s="423">
        <v>128</v>
      </c>
      <c r="I122" s="438"/>
      <c r="J122" s="438"/>
      <c r="K122" s="438"/>
      <c r="L122" s="438"/>
      <c r="M122" s="438"/>
      <c r="N122" s="438"/>
      <c r="O122" s="438"/>
      <c r="P122" s="438"/>
      <c r="Q122" s="438"/>
    </row>
    <row r="123" spans="1:17">
      <c r="A123" s="439">
        <v>45325</v>
      </c>
      <c r="B123" s="423" t="s">
        <v>31</v>
      </c>
      <c r="C123" s="423" t="s">
        <v>293</v>
      </c>
      <c r="D123" s="394">
        <v>3000</v>
      </c>
      <c r="E123" s="423" t="s">
        <v>248</v>
      </c>
      <c r="F123" s="423">
        <v>129</v>
      </c>
      <c r="I123" s="438"/>
      <c r="J123" s="438"/>
      <c r="K123" s="438"/>
      <c r="L123" s="438"/>
      <c r="M123" s="438"/>
      <c r="N123" s="438"/>
      <c r="O123" s="438"/>
      <c r="P123" s="438"/>
      <c r="Q123" s="438"/>
    </row>
    <row r="124" spans="1:17">
      <c r="A124" s="439">
        <v>45326</v>
      </c>
      <c r="B124" s="423" t="s">
        <v>44</v>
      </c>
      <c r="C124" s="423" t="s">
        <v>42</v>
      </c>
      <c r="D124" s="394">
        <v>14000</v>
      </c>
      <c r="E124" s="423" t="s">
        <v>125</v>
      </c>
      <c r="F124" s="423">
        <v>147</v>
      </c>
      <c r="I124" s="438"/>
      <c r="J124" s="438"/>
      <c r="K124" s="438"/>
      <c r="L124" s="438"/>
      <c r="M124" s="438"/>
      <c r="N124" s="438"/>
      <c r="O124" s="438"/>
      <c r="P124" s="438"/>
      <c r="Q124" s="438"/>
    </row>
    <row r="125" spans="1:17">
      <c r="A125" s="439">
        <v>45329</v>
      </c>
      <c r="B125" s="423" t="s">
        <v>16</v>
      </c>
      <c r="C125" s="423" t="s">
        <v>14</v>
      </c>
      <c r="D125" s="394">
        <v>30000</v>
      </c>
      <c r="E125" s="423" t="s">
        <v>125</v>
      </c>
      <c r="F125" s="423">
        <v>130</v>
      </c>
      <c r="I125" s="438"/>
      <c r="J125" s="438"/>
      <c r="K125" s="438"/>
      <c r="L125" s="438"/>
      <c r="M125" s="438"/>
      <c r="N125" s="438"/>
      <c r="O125" s="438"/>
      <c r="P125" s="438"/>
      <c r="Q125" s="438"/>
    </row>
    <row r="126" spans="1:17">
      <c r="A126" s="439">
        <v>45343</v>
      </c>
      <c r="B126" s="423" t="s">
        <v>23</v>
      </c>
      <c r="C126" s="423" t="s">
        <v>22</v>
      </c>
      <c r="D126" s="394">
        <v>42000</v>
      </c>
      <c r="E126" s="423" t="s">
        <v>248</v>
      </c>
      <c r="F126" s="423">
        <v>132</v>
      </c>
      <c r="I126" s="438"/>
      <c r="J126" s="438"/>
      <c r="K126" s="438"/>
      <c r="L126" s="438"/>
      <c r="M126" s="438"/>
      <c r="N126" s="438"/>
      <c r="O126" s="438"/>
      <c r="P126" s="438"/>
      <c r="Q126" s="438"/>
    </row>
    <row r="127" spans="1:17">
      <c r="A127" s="439">
        <v>45345</v>
      </c>
      <c r="B127" s="423" t="s">
        <v>63</v>
      </c>
      <c r="C127" s="423" t="s">
        <v>335</v>
      </c>
      <c r="D127" s="394">
        <v>3000</v>
      </c>
      <c r="E127" s="423" t="s">
        <v>248</v>
      </c>
      <c r="F127" s="423">
        <v>136</v>
      </c>
      <c r="I127" s="438"/>
      <c r="J127" s="438"/>
      <c r="K127" s="438"/>
      <c r="L127" s="438"/>
      <c r="M127" s="438"/>
      <c r="N127" s="438"/>
      <c r="O127" s="438"/>
      <c r="P127" s="438"/>
      <c r="Q127" s="438"/>
    </row>
    <row r="128" spans="1:17">
      <c r="A128" s="439">
        <v>45352</v>
      </c>
      <c r="B128" s="423" t="s">
        <v>16</v>
      </c>
      <c r="C128" s="423" t="s">
        <v>14</v>
      </c>
      <c r="D128" s="394">
        <v>20000</v>
      </c>
      <c r="E128" s="423" t="s">
        <v>125</v>
      </c>
      <c r="F128" s="423">
        <v>137</v>
      </c>
      <c r="I128" s="438"/>
      <c r="J128" s="438"/>
      <c r="K128" s="438"/>
      <c r="L128" s="438"/>
      <c r="M128" s="438"/>
      <c r="N128" s="438"/>
      <c r="O128" s="438"/>
      <c r="P128" s="438"/>
      <c r="Q128" s="438"/>
    </row>
    <row r="129" spans="1:17">
      <c r="A129" s="439">
        <v>45353</v>
      </c>
      <c r="B129" s="423" t="s">
        <v>77</v>
      </c>
      <c r="C129" s="423" t="s">
        <v>75</v>
      </c>
      <c r="D129" s="394">
        <v>1200</v>
      </c>
      <c r="E129" s="423" t="s">
        <v>248</v>
      </c>
      <c r="F129" s="423">
        <v>138</v>
      </c>
      <c r="I129" s="438"/>
      <c r="J129" s="438"/>
      <c r="K129" s="438"/>
      <c r="L129" s="438"/>
      <c r="M129" s="438"/>
      <c r="N129" s="438"/>
      <c r="O129" s="438"/>
      <c r="P129" s="438"/>
      <c r="Q129" s="438"/>
    </row>
    <row r="130" spans="1:17">
      <c r="A130" s="439">
        <v>45355</v>
      </c>
      <c r="B130" s="423" t="s">
        <v>24</v>
      </c>
      <c r="C130" s="423" t="s">
        <v>387</v>
      </c>
      <c r="D130" s="394">
        <v>500</v>
      </c>
      <c r="E130" s="423" t="s">
        <v>395</v>
      </c>
      <c r="F130" s="423">
        <v>149</v>
      </c>
      <c r="I130" s="438"/>
      <c r="J130" s="438"/>
      <c r="K130" s="438"/>
      <c r="L130" s="438"/>
      <c r="M130" s="438"/>
      <c r="N130" s="438"/>
      <c r="O130" s="438"/>
      <c r="P130" s="438"/>
      <c r="Q130" s="438"/>
    </row>
    <row r="131" spans="1:17">
      <c r="A131" s="439">
        <v>45357</v>
      </c>
      <c r="B131" s="423" t="s">
        <v>18</v>
      </c>
      <c r="C131" s="423" t="s">
        <v>17</v>
      </c>
      <c r="D131" s="394">
        <v>195091.5</v>
      </c>
      <c r="E131" s="442" t="s">
        <v>125</v>
      </c>
      <c r="F131" s="423">
        <v>139</v>
      </c>
      <c r="I131" s="438"/>
      <c r="J131" s="438"/>
      <c r="K131" s="438"/>
      <c r="L131" s="438"/>
      <c r="M131" s="438"/>
      <c r="N131" s="438"/>
      <c r="O131" s="438"/>
      <c r="P131" s="438"/>
      <c r="Q131" s="438"/>
    </row>
    <row r="132" spans="1:17">
      <c r="A132" s="439">
        <v>45359</v>
      </c>
      <c r="B132" s="423" t="s">
        <v>38</v>
      </c>
      <c r="C132" s="423" t="s">
        <v>294</v>
      </c>
      <c r="D132" s="394">
        <v>7814.1</v>
      </c>
      <c r="E132" s="423" t="s">
        <v>248</v>
      </c>
      <c r="F132" s="423">
        <v>142</v>
      </c>
      <c r="I132" s="438"/>
      <c r="J132" s="438"/>
      <c r="K132" s="438"/>
      <c r="L132" s="438"/>
      <c r="M132" s="438"/>
      <c r="N132" s="438"/>
      <c r="O132" s="438"/>
      <c r="P132" s="438"/>
      <c r="Q132" s="438"/>
    </row>
    <row r="133" spans="1:17">
      <c r="A133" s="439">
        <v>45359</v>
      </c>
      <c r="B133" s="423" t="s">
        <v>26</v>
      </c>
      <c r="C133" s="423" t="s">
        <v>25</v>
      </c>
      <c r="D133" s="394">
        <v>6000</v>
      </c>
      <c r="E133" s="423" t="s">
        <v>248</v>
      </c>
      <c r="F133" s="423">
        <v>145</v>
      </c>
    </row>
    <row r="134" spans="1:17">
      <c r="A134" s="439">
        <v>45359</v>
      </c>
      <c r="B134" s="423" t="s">
        <v>26</v>
      </c>
      <c r="C134" s="423" t="s">
        <v>25</v>
      </c>
      <c r="D134" s="394">
        <v>4000</v>
      </c>
      <c r="E134" s="423" t="s">
        <v>125</v>
      </c>
      <c r="F134" s="423">
        <v>145</v>
      </c>
    </row>
    <row r="135" spans="1:17">
      <c r="A135" s="439">
        <v>45359</v>
      </c>
      <c r="B135" s="423" t="s">
        <v>23</v>
      </c>
      <c r="C135" s="423" t="s">
        <v>22</v>
      </c>
      <c r="D135" s="394">
        <v>300</v>
      </c>
      <c r="E135" s="423" t="s">
        <v>396</v>
      </c>
      <c r="F135" s="423">
        <v>270</v>
      </c>
    </row>
    <row r="136" spans="1:17">
      <c r="A136" s="439">
        <v>45364</v>
      </c>
      <c r="B136" s="423" t="s">
        <v>37</v>
      </c>
      <c r="C136" s="423" t="s">
        <v>36</v>
      </c>
      <c r="D136" s="394">
        <v>7500</v>
      </c>
      <c r="E136" s="423" t="s">
        <v>248</v>
      </c>
      <c r="F136" s="423">
        <v>144</v>
      </c>
    </row>
    <row r="137" spans="1:17">
      <c r="A137" s="439">
        <v>45370</v>
      </c>
      <c r="B137" s="423" t="s">
        <v>16</v>
      </c>
      <c r="C137" s="423" t="s">
        <v>14</v>
      </c>
      <c r="D137" s="394">
        <v>30000</v>
      </c>
      <c r="E137" s="423" t="s">
        <v>125</v>
      </c>
      <c r="F137" s="423">
        <v>146</v>
      </c>
    </row>
    <row r="138" spans="1:17">
      <c r="A138" s="439">
        <v>45378</v>
      </c>
      <c r="B138" s="423" t="s">
        <v>3</v>
      </c>
      <c r="C138" s="423" t="s">
        <v>1</v>
      </c>
      <c r="D138" s="394">
        <v>117660.05</v>
      </c>
      <c r="E138" s="423" t="s">
        <v>125</v>
      </c>
      <c r="F138" s="423">
        <v>35</v>
      </c>
    </row>
    <row r="139" spans="1:17">
      <c r="A139" s="439">
        <v>45383</v>
      </c>
      <c r="B139" s="423" t="s">
        <v>13</v>
      </c>
      <c r="C139" s="423" t="s">
        <v>12</v>
      </c>
      <c r="D139" s="394">
        <v>101550</v>
      </c>
      <c r="E139" s="423" t="s">
        <v>248</v>
      </c>
      <c r="F139" s="423">
        <v>118</v>
      </c>
    </row>
    <row r="140" spans="1:17">
      <c r="A140" s="439">
        <v>45385</v>
      </c>
      <c r="B140" s="423" t="s">
        <v>44</v>
      </c>
      <c r="C140" s="423" t="s">
        <v>42</v>
      </c>
      <c r="D140" s="394">
        <v>500</v>
      </c>
      <c r="E140" s="423" t="s">
        <v>395</v>
      </c>
      <c r="F140" s="423">
        <v>148</v>
      </c>
    </row>
    <row r="141" spans="1:17">
      <c r="A141" s="439">
        <v>45385</v>
      </c>
      <c r="B141" s="423" t="s">
        <v>47</v>
      </c>
      <c r="C141" s="423" t="s">
        <v>45</v>
      </c>
      <c r="D141" s="394">
        <v>500</v>
      </c>
      <c r="E141" s="423" t="s">
        <v>395</v>
      </c>
      <c r="F141" s="423">
        <v>150</v>
      </c>
    </row>
    <row r="142" spans="1:17">
      <c r="A142" s="439">
        <v>45385</v>
      </c>
      <c r="B142" s="423" t="s">
        <v>3</v>
      </c>
      <c r="C142" s="423" t="s">
        <v>1</v>
      </c>
      <c r="D142" s="394">
        <v>500</v>
      </c>
      <c r="E142" s="423" t="s">
        <v>395</v>
      </c>
      <c r="F142" s="423">
        <v>151</v>
      </c>
    </row>
    <row r="143" spans="1:17">
      <c r="A143" s="439">
        <v>45386</v>
      </c>
      <c r="B143" s="423" t="s">
        <v>29</v>
      </c>
      <c r="C143" s="423" t="s">
        <v>33</v>
      </c>
      <c r="D143" s="394">
        <v>500</v>
      </c>
      <c r="E143" s="423" t="s">
        <v>395</v>
      </c>
      <c r="F143" s="423">
        <v>153</v>
      </c>
    </row>
    <row r="144" spans="1:17">
      <c r="A144" s="439">
        <v>45386</v>
      </c>
      <c r="B144" s="423" t="s">
        <v>29</v>
      </c>
      <c r="C144" s="423" t="s">
        <v>33</v>
      </c>
      <c r="D144" s="394">
        <v>52.7</v>
      </c>
      <c r="E144" s="423" t="s">
        <v>248</v>
      </c>
      <c r="F144" s="423">
        <v>154</v>
      </c>
    </row>
    <row r="145" spans="1:6">
      <c r="A145" s="439">
        <v>45390</v>
      </c>
      <c r="B145" s="423" t="s">
        <v>77</v>
      </c>
      <c r="C145" s="423" t="s">
        <v>75</v>
      </c>
      <c r="D145" s="394">
        <v>1200</v>
      </c>
      <c r="E145" s="423" t="s">
        <v>248</v>
      </c>
      <c r="F145" s="423">
        <v>155</v>
      </c>
    </row>
    <row r="146" spans="1:6">
      <c r="A146" s="439">
        <v>45391</v>
      </c>
      <c r="B146" s="423" t="s">
        <v>32</v>
      </c>
      <c r="C146" s="423" t="s">
        <v>384</v>
      </c>
      <c r="D146" s="394">
        <v>500</v>
      </c>
      <c r="E146" s="423" t="s">
        <v>395</v>
      </c>
      <c r="F146" s="423">
        <v>156</v>
      </c>
    </row>
    <row r="147" spans="1:6">
      <c r="A147" s="439">
        <v>45391</v>
      </c>
      <c r="B147" s="423" t="s">
        <v>32</v>
      </c>
      <c r="C147" s="423" t="s">
        <v>384</v>
      </c>
      <c r="D147" s="394">
        <v>143795.60999999999</v>
      </c>
      <c r="E147" s="423" t="s">
        <v>125</v>
      </c>
      <c r="F147" s="423">
        <v>157</v>
      </c>
    </row>
    <row r="148" spans="1:6">
      <c r="A148" s="439">
        <v>45393</v>
      </c>
      <c r="B148" s="423" t="s">
        <v>37</v>
      </c>
      <c r="C148" s="423" t="s">
        <v>36</v>
      </c>
      <c r="D148" s="394">
        <v>2500</v>
      </c>
      <c r="E148" s="423" t="s">
        <v>248</v>
      </c>
      <c r="F148" s="423">
        <v>158</v>
      </c>
    </row>
    <row r="149" spans="1:6">
      <c r="A149" s="439">
        <v>45393</v>
      </c>
      <c r="B149" s="423" t="s">
        <v>37</v>
      </c>
      <c r="C149" s="423" t="s">
        <v>36</v>
      </c>
      <c r="D149" s="394">
        <v>1000</v>
      </c>
      <c r="E149" s="423" t="s">
        <v>248</v>
      </c>
      <c r="F149" s="423">
        <v>158</v>
      </c>
    </row>
    <row r="150" spans="1:6">
      <c r="A150" s="439">
        <v>45397</v>
      </c>
      <c r="B150" s="423" t="s">
        <v>16</v>
      </c>
      <c r="C150" s="423" t="s">
        <v>14</v>
      </c>
      <c r="D150" s="394">
        <v>1000</v>
      </c>
      <c r="E150" s="423" t="s">
        <v>125</v>
      </c>
      <c r="F150" s="423">
        <v>159</v>
      </c>
    </row>
    <row r="151" spans="1:6">
      <c r="A151" s="439">
        <v>45406</v>
      </c>
      <c r="B151" s="423" t="s">
        <v>47</v>
      </c>
      <c r="C151" s="423" t="s">
        <v>45</v>
      </c>
      <c r="D151" s="394">
        <v>59900</v>
      </c>
      <c r="E151" s="423" t="s">
        <v>125</v>
      </c>
      <c r="F151" s="423">
        <v>160</v>
      </c>
    </row>
    <row r="152" spans="1:6">
      <c r="A152" s="439">
        <v>45406</v>
      </c>
      <c r="B152" s="423" t="s">
        <v>47</v>
      </c>
      <c r="C152" s="423" t="s">
        <v>45</v>
      </c>
      <c r="D152" s="394">
        <v>10100</v>
      </c>
      <c r="E152" s="423" t="s">
        <v>248</v>
      </c>
      <c r="F152" s="423">
        <v>160</v>
      </c>
    </row>
    <row r="153" spans="1:6">
      <c r="A153" s="439">
        <v>45411</v>
      </c>
      <c r="B153" s="423" t="s">
        <v>77</v>
      </c>
      <c r="C153" s="423" t="s">
        <v>75</v>
      </c>
      <c r="D153" s="394">
        <v>2369.4699999999998</v>
      </c>
      <c r="E153" s="423" t="s">
        <v>248</v>
      </c>
      <c r="F153" s="423">
        <v>211</v>
      </c>
    </row>
    <row r="154" spans="1:6">
      <c r="A154" s="439">
        <v>45420</v>
      </c>
      <c r="B154" s="423" t="s">
        <v>11</v>
      </c>
      <c r="C154" s="423" t="s">
        <v>9</v>
      </c>
      <c r="D154" s="394">
        <v>500</v>
      </c>
      <c r="E154" s="423" t="s">
        <v>395</v>
      </c>
    </row>
    <row r="155" spans="1:6">
      <c r="A155" s="439">
        <v>45421</v>
      </c>
      <c r="B155" s="423" t="s">
        <v>11</v>
      </c>
      <c r="C155" s="423" t="s">
        <v>9</v>
      </c>
      <c r="D155" s="394">
        <v>130165.65</v>
      </c>
      <c r="E155" s="423" t="s">
        <v>125</v>
      </c>
      <c r="F155" s="423">
        <v>163</v>
      </c>
    </row>
    <row r="156" spans="1:6">
      <c r="A156" s="439">
        <v>45424</v>
      </c>
      <c r="B156" s="423" t="s">
        <v>84</v>
      </c>
      <c r="C156" s="423" t="s">
        <v>82</v>
      </c>
      <c r="D156" s="394">
        <v>3000</v>
      </c>
      <c r="E156" s="423" t="s">
        <v>248</v>
      </c>
      <c r="F156" s="423">
        <v>164</v>
      </c>
    </row>
    <row r="157" spans="1:6">
      <c r="A157" s="439">
        <v>45426</v>
      </c>
      <c r="B157" s="423" t="s">
        <v>37</v>
      </c>
      <c r="C157" s="423" t="s">
        <v>36</v>
      </c>
      <c r="D157" s="394">
        <v>4313.45</v>
      </c>
      <c r="E157" s="423" t="s">
        <v>248</v>
      </c>
      <c r="F157" s="423">
        <v>165</v>
      </c>
    </row>
    <row r="158" spans="1:6">
      <c r="A158" s="439">
        <v>45427</v>
      </c>
      <c r="B158" s="423" t="s">
        <v>16</v>
      </c>
      <c r="C158" s="423" t="s">
        <v>14</v>
      </c>
      <c r="D158" s="394">
        <v>1000</v>
      </c>
      <c r="E158" s="423" t="s">
        <v>125</v>
      </c>
      <c r="F158" s="423">
        <v>166</v>
      </c>
    </row>
    <row r="159" spans="1:6">
      <c r="A159" s="439">
        <v>45430</v>
      </c>
      <c r="B159" s="423" t="s">
        <v>38</v>
      </c>
      <c r="C159" s="423" t="s">
        <v>294</v>
      </c>
      <c r="D159" s="394">
        <v>6000</v>
      </c>
      <c r="E159" s="423" t="s">
        <v>248</v>
      </c>
      <c r="F159" s="423">
        <v>168</v>
      </c>
    </row>
    <row r="160" spans="1:6">
      <c r="A160" s="439">
        <v>45433</v>
      </c>
      <c r="B160" s="423" t="s">
        <v>24</v>
      </c>
      <c r="C160" s="423" t="s">
        <v>387</v>
      </c>
      <c r="D160" s="394">
        <v>98000</v>
      </c>
      <c r="E160" s="423" t="s">
        <v>125</v>
      </c>
      <c r="F160" s="423">
        <v>167</v>
      </c>
    </row>
    <row r="161" spans="1:8">
      <c r="A161" s="439">
        <v>45438</v>
      </c>
      <c r="B161" s="423" t="s">
        <v>56</v>
      </c>
      <c r="C161" s="423" t="s">
        <v>57</v>
      </c>
      <c r="D161" s="394">
        <v>3000</v>
      </c>
      <c r="E161" s="423" t="s">
        <v>248</v>
      </c>
      <c r="F161" s="423">
        <v>169</v>
      </c>
    </row>
    <row r="162" spans="1:8">
      <c r="A162" s="439">
        <v>45441</v>
      </c>
      <c r="B162" s="423" t="s">
        <v>27</v>
      </c>
      <c r="C162" s="423" t="s">
        <v>263</v>
      </c>
      <c r="D162" s="394">
        <v>3000</v>
      </c>
      <c r="E162" s="423" t="s">
        <v>248</v>
      </c>
      <c r="F162" s="423">
        <v>170</v>
      </c>
    </row>
    <row r="163" spans="1:8">
      <c r="A163" s="439">
        <v>45446</v>
      </c>
      <c r="B163" s="423" t="s">
        <v>18</v>
      </c>
      <c r="C163" s="423" t="s">
        <v>17</v>
      </c>
      <c r="D163" s="394">
        <v>500</v>
      </c>
      <c r="E163" s="423" t="s">
        <v>395</v>
      </c>
      <c r="F163" s="423">
        <v>140</v>
      </c>
    </row>
    <row r="164" spans="1:8">
      <c r="A164" s="439">
        <v>45446</v>
      </c>
      <c r="B164" s="423" t="s">
        <v>44</v>
      </c>
      <c r="C164" s="423" t="s">
        <v>42</v>
      </c>
      <c r="D164" s="394">
        <v>1472.9</v>
      </c>
      <c r="E164" s="423" t="s">
        <v>226</v>
      </c>
    </row>
    <row r="165" spans="1:8">
      <c r="A165" s="439">
        <v>45447</v>
      </c>
      <c r="B165" s="423" t="s">
        <v>84</v>
      </c>
      <c r="C165" s="423" t="s">
        <v>82</v>
      </c>
      <c r="D165" s="394">
        <v>40000</v>
      </c>
      <c r="E165" s="423" t="s">
        <v>248</v>
      </c>
      <c r="F165" s="423">
        <v>171</v>
      </c>
    </row>
    <row r="166" spans="1:8">
      <c r="A166" s="439">
        <v>45455</v>
      </c>
      <c r="B166" s="423" t="s">
        <v>84</v>
      </c>
      <c r="C166" s="423" t="s">
        <v>82</v>
      </c>
      <c r="D166" s="394">
        <v>31427.5</v>
      </c>
      <c r="E166" s="423" t="s">
        <v>248</v>
      </c>
      <c r="F166" s="423">
        <v>174</v>
      </c>
    </row>
    <row r="167" spans="1:8">
      <c r="A167" s="439">
        <v>45455</v>
      </c>
      <c r="B167" s="423" t="s">
        <v>84</v>
      </c>
      <c r="C167" s="423" t="s">
        <v>82</v>
      </c>
      <c r="D167" s="394">
        <v>16572.5</v>
      </c>
      <c r="E167" s="423" t="s">
        <v>125</v>
      </c>
      <c r="F167" s="423">
        <v>174</v>
      </c>
    </row>
    <row r="168" spans="1:8">
      <c r="A168" s="439">
        <v>45455</v>
      </c>
      <c r="B168" s="423" t="s">
        <v>11</v>
      </c>
      <c r="C168" s="423" t="s">
        <v>9</v>
      </c>
      <c r="D168" s="394">
        <v>1400</v>
      </c>
      <c r="E168" s="423" t="s">
        <v>226</v>
      </c>
      <c r="H168" s="440"/>
    </row>
    <row r="169" spans="1:8">
      <c r="A169" s="439">
        <v>45457</v>
      </c>
      <c r="B169" s="423" t="s">
        <v>26</v>
      </c>
      <c r="C169" s="423" t="s">
        <v>25</v>
      </c>
      <c r="D169" s="394">
        <v>6000</v>
      </c>
      <c r="E169" s="423" t="s">
        <v>125</v>
      </c>
      <c r="F169" s="423">
        <v>175</v>
      </c>
    </row>
    <row r="170" spans="1:8">
      <c r="A170" s="439">
        <v>45460</v>
      </c>
      <c r="B170" s="423" t="s">
        <v>44</v>
      </c>
      <c r="C170" s="423" t="s">
        <v>42</v>
      </c>
      <c r="D170" s="394">
        <v>99069.95</v>
      </c>
      <c r="E170" s="423" t="s">
        <v>125</v>
      </c>
      <c r="F170" s="423">
        <v>178</v>
      </c>
    </row>
    <row r="171" spans="1:8">
      <c r="A171" s="439">
        <v>45461</v>
      </c>
      <c r="B171" s="423" t="s">
        <v>18</v>
      </c>
      <c r="C171" s="423" t="s">
        <v>17</v>
      </c>
      <c r="D171" s="394">
        <v>1950</v>
      </c>
      <c r="E171" s="423" t="s">
        <v>226</v>
      </c>
      <c r="F171" s="423">
        <v>195</v>
      </c>
    </row>
    <row r="172" spans="1:8">
      <c r="A172" s="439">
        <v>45462</v>
      </c>
      <c r="B172" s="423" t="s">
        <v>32</v>
      </c>
      <c r="C172" s="423" t="s">
        <v>384</v>
      </c>
      <c r="D172" s="394">
        <v>1785</v>
      </c>
      <c r="E172" s="423" t="s">
        <v>226</v>
      </c>
      <c r="F172" s="423">
        <v>179</v>
      </c>
    </row>
    <row r="173" spans="1:8">
      <c r="A173" s="439">
        <v>45462</v>
      </c>
      <c r="B173" s="423" t="s">
        <v>26</v>
      </c>
      <c r="C173" s="423" t="s">
        <v>25</v>
      </c>
      <c r="D173" s="394">
        <v>6000</v>
      </c>
      <c r="E173" s="423" t="s">
        <v>125</v>
      </c>
      <c r="F173" s="423">
        <v>180</v>
      </c>
    </row>
    <row r="174" spans="1:8">
      <c r="A174" s="439">
        <v>45464</v>
      </c>
      <c r="B174" s="423" t="s">
        <v>26</v>
      </c>
      <c r="C174" s="423" t="s">
        <v>25</v>
      </c>
      <c r="D174" s="394">
        <v>2000</v>
      </c>
      <c r="E174" s="423" t="s">
        <v>125</v>
      </c>
      <c r="F174" s="423">
        <v>181</v>
      </c>
    </row>
    <row r="175" spans="1:8">
      <c r="A175" s="439">
        <v>45464</v>
      </c>
      <c r="B175" s="423" t="s">
        <v>16</v>
      </c>
      <c r="C175" s="423" t="s">
        <v>14</v>
      </c>
      <c r="D175" s="394">
        <v>1500</v>
      </c>
      <c r="E175" s="423" t="s">
        <v>125</v>
      </c>
      <c r="F175" s="423">
        <v>182</v>
      </c>
    </row>
    <row r="176" spans="1:8">
      <c r="A176" s="439">
        <v>45465</v>
      </c>
      <c r="B176" s="423" t="s">
        <v>27</v>
      </c>
      <c r="C176" s="423" t="s">
        <v>263</v>
      </c>
      <c r="D176" s="394">
        <v>10000</v>
      </c>
      <c r="E176" s="423" t="s">
        <v>248</v>
      </c>
      <c r="F176" s="423">
        <v>183</v>
      </c>
    </row>
    <row r="177" spans="1:6">
      <c r="A177" s="443">
        <v>45467</v>
      </c>
      <c r="B177" s="444" t="s">
        <v>84</v>
      </c>
      <c r="C177" s="444" t="s">
        <v>82</v>
      </c>
      <c r="D177" s="445">
        <v>10000</v>
      </c>
      <c r="E177" s="444" t="s">
        <v>125</v>
      </c>
      <c r="F177" s="423">
        <v>185</v>
      </c>
    </row>
    <row r="178" spans="1:6">
      <c r="A178" s="439">
        <v>45469</v>
      </c>
      <c r="B178" s="423" t="s">
        <v>66</v>
      </c>
      <c r="C178" s="423" t="s">
        <v>64</v>
      </c>
      <c r="D178" s="394">
        <v>96298.4</v>
      </c>
      <c r="E178" s="423" t="s">
        <v>125</v>
      </c>
      <c r="F178" s="423">
        <v>187</v>
      </c>
    </row>
    <row r="179" spans="1:6">
      <c r="A179" s="439">
        <v>45469</v>
      </c>
      <c r="B179" s="423" t="s">
        <v>66</v>
      </c>
      <c r="C179" s="423" t="s">
        <v>64</v>
      </c>
      <c r="D179" s="394">
        <v>1705</v>
      </c>
      <c r="E179" s="423" t="s">
        <v>226</v>
      </c>
      <c r="F179" s="423">
        <v>189</v>
      </c>
    </row>
    <row r="180" spans="1:6">
      <c r="A180" s="439">
        <v>45470</v>
      </c>
      <c r="B180" s="423" t="s">
        <v>49</v>
      </c>
      <c r="C180" s="423" t="s">
        <v>48</v>
      </c>
      <c r="D180" s="394">
        <v>30000</v>
      </c>
      <c r="E180" s="423" t="s">
        <v>248</v>
      </c>
      <c r="F180" s="423">
        <v>186</v>
      </c>
    </row>
    <row r="181" spans="1:6">
      <c r="A181" s="439">
        <v>45470</v>
      </c>
      <c r="B181" s="423" t="s">
        <v>41</v>
      </c>
      <c r="C181" s="423" t="s">
        <v>39</v>
      </c>
      <c r="D181" s="394">
        <v>500</v>
      </c>
      <c r="E181" s="423" t="s">
        <v>395</v>
      </c>
      <c r="F181" s="423">
        <v>188</v>
      </c>
    </row>
    <row r="182" spans="1:6">
      <c r="A182" s="439">
        <v>45470</v>
      </c>
      <c r="B182" s="423" t="s">
        <v>24</v>
      </c>
      <c r="C182" s="423" t="s">
        <v>387</v>
      </c>
      <c r="D182" s="394">
        <v>8406.0750000000007</v>
      </c>
      <c r="E182" s="423" t="s">
        <v>248</v>
      </c>
      <c r="F182" s="423">
        <v>190</v>
      </c>
    </row>
    <row r="183" spans="1:6">
      <c r="A183" s="439">
        <v>45470</v>
      </c>
      <c r="B183" s="423" t="s">
        <v>24</v>
      </c>
      <c r="C183" s="423" t="s">
        <v>387</v>
      </c>
      <c r="D183" s="394">
        <v>11221.875</v>
      </c>
      <c r="E183" s="423" t="s">
        <v>125</v>
      </c>
      <c r="F183" s="423">
        <v>190</v>
      </c>
    </row>
    <row r="184" spans="1:6">
      <c r="A184" s="439">
        <v>45470</v>
      </c>
      <c r="B184" s="423" t="s">
        <v>11</v>
      </c>
      <c r="C184" s="423" t="s">
        <v>9</v>
      </c>
      <c r="D184" s="394">
        <v>300</v>
      </c>
      <c r="E184" s="423" t="s">
        <v>396</v>
      </c>
    </row>
    <row r="185" spans="1:6">
      <c r="A185" s="439">
        <v>45471</v>
      </c>
      <c r="B185" s="423" t="s">
        <v>49</v>
      </c>
      <c r="C185" s="423" t="s">
        <v>48</v>
      </c>
      <c r="D185" s="394">
        <v>10442.9</v>
      </c>
      <c r="E185" s="423" t="s">
        <v>248</v>
      </c>
      <c r="F185" s="423">
        <v>191</v>
      </c>
    </row>
    <row r="186" spans="1:6">
      <c r="A186" s="439">
        <v>45471</v>
      </c>
      <c r="B186" s="423" t="s">
        <v>13</v>
      </c>
      <c r="C186" s="423" t="s">
        <v>12</v>
      </c>
      <c r="D186" s="394">
        <v>777.9</v>
      </c>
      <c r="E186" s="423" t="s">
        <v>226</v>
      </c>
      <c r="F186" s="423">
        <v>192</v>
      </c>
    </row>
    <row r="187" spans="1:6">
      <c r="A187" s="439">
        <v>45472</v>
      </c>
      <c r="B187" s="423" t="s">
        <v>27</v>
      </c>
      <c r="C187" s="423" t="s">
        <v>263</v>
      </c>
      <c r="D187" s="394">
        <v>9875</v>
      </c>
      <c r="E187" s="423" t="s">
        <v>248</v>
      </c>
      <c r="F187" s="423">
        <v>193</v>
      </c>
    </row>
    <row r="188" spans="1:6">
      <c r="A188" s="439">
        <v>45478</v>
      </c>
      <c r="B188" s="423" t="s">
        <v>21</v>
      </c>
      <c r="C188" s="423" t="s">
        <v>19</v>
      </c>
      <c r="D188" s="394">
        <v>500</v>
      </c>
      <c r="E188" s="423" t="s">
        <v>395</v>
      </c>
      <c r="F188" s="423">
        <v>196</v>
      </c>
    </row>
    <row r="189" spans="1:6">
      <c r="A189" s="439">
        <v>45478</v>
      </c>
      <c r="B189" s="423" t="s">
        <v>24</v>
      </c>
      <c r="C189" s="423" t="s">
        <v>387</v>
      </c>
      <c r="D189" s="394">
        <v>57.1</v>
      </c>
      <c r="E189" s="423" t="s">
        <v>125</v>
      </c>
      <c r="F189" s="423">
        <v>197</v>
      </c>
    </row>
    <row r="190" spans="1:6">
      <c r="A190" s="439">
        <v>45479</v>
      </c>
      <c r="B190" s="423" t="s">
        <v>24</v>
      </c>
      <c r="C190" s="423" t="s">
        <v>387</v>
      </c>
      <c r="D190" s="394">
        <v>1600</v>
      </c>
      <c r="E190" s="423" t="s">
        <v>226</v>
      </c>
      <c r="F190" s="423">
        <v>198</v>
      </c>
    </row>
    <row r="191" spans="1:6">
      <c r="A191" s="439">
        <v>45481</v>
      </c>
      <c r="B191" s="423" t="s">
        <v>49</v>
      </c>
      <c r="C191" s="423" t="s">
        <v>48</v>
      </c>
      <c r="D191" s="394">
        <v>500</v>
      </c>
      <c r="E191" s="423" t="s">
        <v>395</v>
      </c>
      <c r="F191" s="423">
        <v>200</v>
      </c>
    </row>
    <row r="192" spans="1:6">
      <c r="A192" s="439">
        <v>45483</v>
      </c>
      <c r="B192" s="423" t="s">
        <v>49</v>
      </c>
      <c r="C192" s="423" t="s">
        <v>48</v>
      </c>
      <c r="D192" s="394">
        <v>1000</v>
      </c>
      <c r="E192" s="423" t="s">
        <v>248</v>
      </c>
      <c r="F192" s="423">
        <v>464</v>
      </c>
    </row>
    <row r="193" spans="1:6">
      <c r="A193" s="439">
        <v>45485</v>
      </c>
      <c r="B193" s="423" t="s">
        <v>41</v>
      </c>
      <c r="C193" s="423" t="s">
        <v>39</v>
      </c>
      <c r="D193" s="394">
        <v>102797.1</v>
      </c>
      <c r="E193" s="423" t="s">
        <v>125</v>
      </c>
      <c r="F193" s="423">
        <v>252</v>
      </c>
    </row>
    <row r="194" spans="1:6">
      <c r="A194" s="439">
        <v>45493</v>
      </c>
      <c r="B194" s="423" t="s">
        <v>27</v>
      </c>
      <c r="C194" s="423" t="s">
        <v>263</v>
      </c>
      <c r="D194" s="394">
        <v>3000</v>
      </c>
      <c r="E194" s="423" t="s">
        <v>248</v>
      </c>
      <c r="F194" s="423">
        <v>253</v>
      </c>
    </row>
    <row r="195" spans="1:6">
      <c r="A195" s="439">
        <v>45493</v>
      </c>
      <c r="B195" s="423" t="s">
        <v>31</v>
      </c>
      <c r="C195" s="423" t="s">
        <v>293</v>
      </c>
      <c r="D195" s="394">
        <v>45000</v>
      </c>
      <c r="E195" s="423" t="s">
        <v>248</v>
      </c>
      <c r="F195" s="423">
        <v>254</v>
      </c>
    </row>
    <row r="196" spans="1:6">
      <c r="A196" s="439">
        <v>45493</v>
      </c>
      <c r="B196" s="423" t="s">
        <v>31</v>
      </c>
      <c r="C196" s="423" t="s">
        <v>293</v>
      </c>
      <c r="D196" s="394">
        <v>2000</v>
      </c>
      <c r="E196" s="423" t="s">
        <v>248</v>
      </c>
      <c r="F196" s="423">
        <v>255</v>
      </c>
    </row>
    <row r="197" spans="1:6">
      <c r="A197" s="439">
        <v>45498</v>
      </c>
      <c r="B197" s="423" t="s">
        <v>32</v>
      </c>
      <c r="C197" s="423" t="s">
        <v>384</v>
      </c>
      <c r="D197" s="394">
        <v>300</v>
      </c>
      <c r="E197" s="423" t="s">
        <v>396</v>
      </c>
      <c r="F197" s="423">
        <v>259</v>
      </c>
    </row>
    <row r="198" spans="1:6">
      <c r="A198" s="439">
        <v>45499</v>
      </c>
      <c r="B198" s="423" t="s">
        <v>23</v>
      </c>
      <c r="C198" s="423" t="s">
        <v>22</v>
      </c>
      <c r="D198" s="394">
        <v>105000</v>
      </c>
      <c r="E198" s="423" t="s">
        <v>125</v>
      </c>
      <c r="F198" s="423" t="s">
        <v>422</v>
      </c>
    </row>
    <row r="199" spans="1:6">
      <c r="A199" s="439">
        <v>45500</v>
      </c>
      <c r="B199" s="423" t="s">
        <v>23</v>
      </c>
      <c r="C199" s="423" t="s">
        <v>22</v>
      </c>
      <c r="D199" s="394">
        <v>500</v>
      </c>
      <c r="E199" s="423" t="s">
        <v>395</v>
      </c>
      <c r="F199" s="423">
        <v>264</v>
      </c>
    </row>
    <row r="200" spans="1:6">
      <c r="A200" s="439">
        <v>45504</v>
      </c>
      <c r="B200" s="423" t="s">
        <v>63</v>
      </c>
      <c r="C200" s="423" t="s">
        <v>335</v>
      </c>
      <c r="D200" s="394">
        <v>500</v>
      </c>
      <c r="E200" s="423" t="s">
        <v>395</v>
      </c>
      <c r="F200" s="423">
        <v>266</v>
      </c>
    </row>
    <row r="201" spans="1:6">
      <c r="A201" s="439">
        <v>45504</v>
      </c>
      <c r="B201" s="423" t="s">
        <v>27</v>
      </c>
      <c r="C201" s="423" t="s">
        <v>263</v>
      </c>
      <c r="D201" s="394">
        <v>1000</v>
      </c>
      <c r="E201" s="423" t="s">
        <v>248</v>
      </c>
      <c r="F201" s="423">
        <v>267</v>
      </c>
    </row>
    <row r="202" spans="1:6">
      <c r="A202" s="439">
        <v>45504</v>
      </c>
      <c r="B202" s="423" t="s">
        <v>63</v>
      </c>
      <c r="C202" s="423" t="s">
        <v>335</v>
      </c>
      <c r="D202" s="394">
        <v>57000</v>
      </c>
      <c r="E202" s="423" t="s">
        <v>248</v>
      </c>
      <c r="F202" s="423">
        <v>268</v>
      </c>
    </row>
    <row r="203" spans="1:6">
      <c r="A203" s="439">
        <v>45512</v>
      </c>
      <c r="B203" s="423" t="s">
        <v>61</v>
      </c>
      <c r="C203" s="423" t="s">
        <v>339</v>
      </c>
      <c r="D203" s="394">
        <v>3000</v>
      </c>
      <c r="E203" s="423" t="s">
        <v>248</v>
      </c>
      <c r="F203" s="423">
        <v>274</v>
      </c>
    </row>
    <row r="204" spans="1:6">
      <c r="A204" s="439">
        <v>45512</v>
      </c>
      <c r="B204" s="423" t="s">
        <v>55</v>
      </c>
      <c r="C204" s="423" t="s">
        <v>331</v>
      </c>
      <c r="D204" s="394">
        <v>3000</v>
      </c>
      <c r="E204" s="423" t="s">
        <v>248</v>
      </c>
      <c r="F204" s="423">
        <v>276</v>
      </c>
    </row>
    <row r="205" spans="1:6">
      <c r="A205" s="439">
        <v>45512</v>
      </c>
      <c r="B205" s="423" t="s">
        <v>23</v>
      </c>
      <c r="C205" s="423" t="s">
        <v>22</v>
      </c>
      <c r="D205" s="394">
        <v>1525</v>
      </c>
      <c r="E205" s="423" t="s">
        <v>226</v>
      </c>
      <c r="F205" s="423">
        <v>279</v>
      </c>
    </row>
    <row r="206" spans="1:6">
      <c r="A206" s="439">
        <v>45512</v>
      </c>
      <c r="B206" s="423" t="s">
        <v>18</v>
      </c>
      <c r="C206" s="423" t="s">
        <v>17</v>
      </c>
      <c r="D206" s="394">
        <v>300</v>
      </c>
      <c r="E206" s="423" t="s">
        <v>396</v>
      </c>
      <c r="F206" s="423">
        <v>281</v>
      </c>
    </row>
    <row r="207" spans="1:6">
      <c r="A207" s="439">
        <v>45512</v>
      </c>
      <c r="B207" s="423" t="s">
        <v>21</v>
      </c>
      <c r="C207" s="423" t="s">
        <v>19</v>
      </c>
      <c r="D207" s="394">
        <v>300</v>
      </c>
      <c r="E207" s="423" t="s">
        <v>396</v>
      </c>
      <c r="F207" s="423">
        <v>283</v>
      </c>
    </row>
    <row r="208" spans="1:6">
      <c r="A208" s="439">
        <v>45512</v>
      </c>
      <c r="B208" s="423" t="s">
        <v>56</v>
      </c>
      <c r="C208" s="423" t="s">
        <v>57</v>
      </c>
      <c r="D208" s="394">
        <v>9732.5</v>
      </c>
      <c r="E208" s="423" t="s">
        <v>248</v>
      </c>
      <c r="F208" s="423">
        <v>455</v>
      </c>
    </row>
    <row r="209" spans="1:6">
      <c r="A209" s="446">
        <v>45516</v>
      </c>
      <c r="B209" s="423" t="s">
        <v>4</v>
      </c>
      <c r="C209" s="423" t="s">
        <v>400</v>
      </c>
      <c r="D209" s="394">
        <v>2980</v>
      </c>
      <c r="E209" s="423" t="s">
        <v>248</v>
      </c>
      <c r="F209" s="423">
        <v>284</v>
      </c>
    </row>
    <row r="210" spans="1:6">
      <c r="A210" s="439">
        <v>45516</v>
      </c>
      <c r="B210" s="423" t="s">
        <v>27</v>
      </c>
      <c r="C210" s="423" t="s">
        <v>263</v>
      </c>
      <c r="D210" s="394">
        <v>1000</v>
      </c>
      <c r="E210" s="423" t="s">
        <v>248</v>
      </c>
      <c r="F210" s="423">
        <v>298</v>
      </c>
    </row>
    <row r="211" spans="1:6">
      <c r="A211" s="439">
        <v>45523</v>
      </c>
      <c r="B211" s="423" t="s">
        <v>38</v>
      </c>
      <c r="C211" s="423" t="s">
        <v>294</v>
      </c>
      <c r="D211" s="394">
        <v>4000</v>
      </c>
      <c r="E211" s="423" t="s">
        <v>248</v>
      </c>
      <c r="F211" s="423">
        <v>285</v>
      </c>
    </row>
    <row r="212" spans="1:6">
      <c r="A212" s="439">
        <v>45526</v>
      </c>
      <c r="B212" s="423" t="s">
        <v>86</v>
      </c>
      <c r="C212" s="423" t="s">
        <v>399</v>
      </c>
      <c r="D212" s="394">
        <v>3000</v>
      </c>
      <c r="E212" s="423" t="s">
        <v>248</v>
      </c>
      <c r="F212" s="423">
        <v>288</v>
      </c>
    </row>
    <row r="213" spans="1:6">
      <c r="A213" s="439">
        <v>45526</v>
      </c>
      <c r="B213" s="423" t="s">
        <v>60</v>
      </c>
      <c r="C213" s="423" t="s">
        <v>347</v>
      </c>
      <c r="D213" s="394">
        <v>3000</v>
      </c>
      <c r="E213" s="423" t="s">
        <v>248</v>
      </c>
      <c r="F213" s="423">
        <v>289</v>
      </c>
    </row>
    <row r="214" spans="1:6">
      <c r="A214" s="439">
        <v>45527</v>
      </c>
      <c r="B214" s="444" t="s">
        <v>84</v>
      </c>
      <c r="C214" s="444" t="s">
        <v>82</v>
      </c>
      <c r="D214" s="394">
        <v>111650</v>
      </c>
      <c r="E214" s="423" t="s">
        <v>125</v>
      </c>
      <c r="F214" s="423" t="s">
        <v>421</v>
      </c>
    </row>
    <row r="215" spans="1:6">
      <c r="A215" s="439">
        <v>45531</v>
      </c>
      <c r="B215" s="423" t="s">
        <v>4</v>
      </c>
      <c r="C215" s="423" t="s">
        <v>400</v>
      </c>
      <c r="D215" s="394">
        <v>500</v>
      </c>
      <c r="E215" s="423" t="s">
        <v>395</v>
      </c>
      <c r="F215" s="423">
        <v>291</v>
      </c>
    </row>
    <row r="216" spans="1:6">
      <c r="A216" s="439">
        <v>45531</v>
      </c>
      <c r="B216" s="423" t="s">
        <v>27</v>
      </c>
      <c r="C216" s="423" t="s">
        <v>263</v>
      </c>
      <c r="D216" s="394">
        <v>1000</v>
      </c>
      <c r="E216" s="423" t="s">
        <v>248</v>
      </c>
      <c r="F216" s="423">
        <v>298</v>
      </c>
    </row>
    <row r="217" spans="1:6">
      <c r="A217" s="439">
        <v>45532</v>
      </c>
      <c r="B217" s="423" t="s">
        <v>13</v>
      </c>
      <c r="C217" s="423" t="s">
        <v>12</v>
      </c>
      <c r="D217" s="394">
        <v>24967.9</v>
      </c>
      <c r="E217" s="423" t="s">
        <v>248</v>
      </c>
      <c r="F217" s="423">
        <v>292</v>
      </c>
    </row>
    <row r="218" spans="1:6">
      <c r="A218" s="439">
        <v>45533</v>
      </c>
      <c r="B218" s="423" t="s">
        <v>13</v>
      </c>
      <c r="C218" s="423" t="s">
        <v>12</v>
      </c>
      <c r="D218" s="394">
        <v>9967.9</v>
      </c>
      <c r="E218" s="423" t="s">
        <v>248</v>
      </c>
      <c r="F218" s="423">
        <v>293</v>
      </c>
    </row>
    <row r="219" spans="1:6">
      <c r="A219" s="439">
        <v>45538</v>
      </c>
      <c r="B219" s="423" t="s">
        <v>27</v>
      </c>
      <c r="C219" s="423" t="s">
        <v>263</v>
      </c>
      <c r="D219" s="394">
        <v>1625</v>
      </c>
      <c r="E219" s="423" t="s">
        <v>248</v>
      </c>
      <c r="F219" s="423">
        <v>458</v>
      </c>
    </row>
    <row r="220" spans="1:6">
      <c r="A220" s="439">
        <v>45540</v>
      </c>
      <c r="B220" s="423" t="s">
        <v>84</v>
      </c>
      <c r="C220" s="423" t="s">
        <v>82</v>
      </c>
      <c r="D220" s="394">
        <v>300</v>
      </c>
      <c r="E220" s="423" t="s">
        <v>396</v>
      </c>
      <c r="F220" s="423">
        <v>299</v>
      </c>
    </row>
    <row r="221" spans="1:6">
      <c r="A221" s="439">
        <v>45540</v>
      </c>
      <c r="B221" s="423" t="s">
        <v>84</v>
      </c>
      <c r="C221" s="423" t="s">
        <v>82</v>
      </c>
      <c r="D221" s="394">
        <v>500</v>
      </c>
      <c r="E221" s="423" t="s">
        <v>395</v>
      </c>
      <c r="F221" s="423">
        <v>299</v>
      </c>
    </row>
    <row r="222" spans="1:6">
      <c r="A222" s="439">
        <v>45541</v>
      </c>
      <c r="B222" s="423" t="s">
        <v>16</v>
      </c>
      <c r="C222" s="423" t="s">
        <v>14</v>
      </c>
      <c r="D222" s="394">
        <v>1000</v>
      </c>
      <c r="E222" s="423" t="s">
        <v>125</v>
      </c>
      <c r="F222" s="423">
        <v>451</v>
      </c>
    </row>
    <row r="223" spans="1:6">
      <c r="A223" s="439">
        <v>45542</v>
      </c>
      <c r="B223" s="423" t="s">
        <v>55</v>
      </c>
      <c r="C223" s="423" t="s">
        <v>331</v>
      </c>
      <c r="D223" s="394">
        <v>4000</v>
      </c>
      <c r="E223" s="423" t="s">
        <v>248</v>
      </c>
      <c r="F223" s="423">
        <v>452</v>
      </c>
    </row>
    <row r="224" spans="1:6">
      <c r="A224" s="439">
        <v>45544</v>
      </c>
      <c r="B224" s="423" t="s">
        <v>77</v>
      </c>
      <c r="C224" s="423" t="s">
        <v>75</v>
      </c>
      <c r="D224" s="394">
        <v>9330.5300000000007</v>
      </c>
      <c r="E224" s="423" t="s">
        <v>248</v>
      </c>
      <c r="F224" s="423">
        <v>295</v>
      </c>
    </row>
    <row r="225" spans="1:6">
      <c r="A225" s="439">
        <v>45555</v>
      </c>
      <c r="B225" s="423" t="s">
        <v>26</v>
      </c>
      <c r="C225" s="423" t="s">
        <v>25</v>
      </c>
      <c r="D225" s="394">
        <v>86000</v>
      </c>
      <c r="E225" s="423" t="s">
        <v>125</v>
      </c>
      <c r="F225" s="423" t="s">
        <v>421</v>
      </c>
    </row>
    <row r="226" spans="1:6">
      <c r="A226" s="439">
        <v>45556</v>
      </c>
      <c r="B226" s="423" t="s">
        <v>61</v>
      </c>
      <c r="C226" s="423" t="s">
        <v>339</v>
      </c>
      <c r="D226" s="394">
        <v>37000</v>
      </c>
      <c r="E226" s="423" t="s">
        <v>248</v>
      </c>
      <c r="F226" s="423">
        <v>454</v>
      </c>
    </row>
    <row r="227" spans="1:6">
      <c r="A227" s="439">
        <v>45560</v>
      </c>
      <c r="B227" s="423" t="s">
        <v>21</v>
      </c>
      <c r="C227" s="423" t="s">
        <v>19</v>
      </c>
      <c r="D227" s="394">
        <v>149103.6</v>
      </c>
      <c r="E227" s="423" t="s">
        <v>125</v>
      </c>
      <c r="F227" s="423" t="s">
        <v>421</v>
      </c>
    </row>
    <row r="228" spans="1:6">
      <c r="A228" s="446">
        <v>45561</v>
      </c>
      <c r="B228" s="423" t="s">
        <v>4</v>
      </c>
      <c r="C228" s="423" t="s">
        <v>400</v>
      </c>
      <c r="D228" s="394">
        <v>47947.9</v>
      </c>
      <c r="E228" s="423" t="s">
        <v>248</v>
      </c>
      <c r="F228" s="423">
        <v>456</v>
      </c>
    </row>
    <row r="229" spans="1:6">
      <c r="A229" s="446">
        <v>45561</v>
      </c>
      <c r="B229" s="423" t="s">
        <v>4</v>
      </c>
      <c r="C229" s="423" t="s">
        <v>400</v>
      </c>
      <c r="D229" s="394">
        <v>119000</v>
      </c>
      <c r="E229" s="423" t="s">
        <v>125</v>
      </c>
      <c r="F229" s="423">
        <v>456</v>
      </c>
    </row>
    <row r="230" spans="1:6">
      <c r="A230" s="439">
        <v>45563</v>
      </c>
      <c r="B230" s="423" t="s">
        <v>41</v>
      </c>
      <c r="C230" s="423" t="s">
        <v>39</v>
      </c>
      <c r="D230" s="394">
        <v>450</v>
      </c>
      <c r="E230" s="423" t="s">
        <v>226</v>
      </c>
      <c r="F230" s="423">
        <v>457</v>
      </c>
    </row>
    <row r="231" spans="1:6">
      <c r="A231" s="439">
        <v>45565</v>
      </c>
      <c r="B231" s="423" t="s">
        <v>26</v>
      </c>
      <c r="C231" s="423" t="s">
        <v>25</v>
      </c>
      <c r="D231" s="394">
        <v>6433.13</v>
      </c>
      <c r="E231" s="423" t="s">
        <v>248</v>
      </c>
      <c r="F231" s="423">
        <v>459</v>
      </c>
    </row>
    <row r="232" spans="1:6">
      <c r="A232" s="439">
        <v>45565</v>
      </c>
      <c r="B232" s="423" t="s">
        <v>37</v>
      </c>
      <c r="C232" s="423" t="s">
        <v>36</v>
      </c>
      <c r="D232" s="394">
        <v>8000</v>
      </c>
      <c r="E232" s="423" t="s">
        <v>248</v>
      </c>
      <c r="F232" s="423">
        <v>461</v>
      </c>
    </row>
    <row r="233" spans="1:6">
      <c r="A233" s="439">
        <v>45565</v>
      </c>
      <c r="B233" s="423" t="s">
        <v>56</v>
      </c>
      <c r="C233" s="423" t="s">
        <v>57</v>
      </c>
      <c r="D233" s="394">
        <v>10000</v>
      </c>
      <c r="E233" s="423" t="s">
        <v>248</v>
      </c>
      <c r="F233" s="423">
        <v>462</v>
      </c>
    </row>
    <row r="234" spans="1:6">
      <c r="A234" s="439">
        <v>45567</v>
      </c>
      <c r="B234" s="423" t="s">
        <v>47</v>
      </c>
      <c r="C234" s="423" t="s">
        <v>45</v>
      </c>
      <c r="D234" s="394">
        <v>71400</v>
      </c>
      <c r="E234" s="423" t="s">
        <v>125</v>
      </c>
      <c r="F234" s="423" t="s">
        <v>422</v>
      </c>
    </row>
    <row r="235" spans="1:6">
      <c r="A235" s="439">
        <v>45568</v>
      </c>
      <c r="B235" s="423" t="s">
        <v>55</v>
      </c>
      <c r="C235" s="423" t="s">
        <v>331</v>
      </c>
      <c r="D235" s="394">
        <v>1000</v>
      </c>
      <c r="E235" s="423" t="s">
        <v>248</v>
      </c>
      <c r="F235" s="423">
        <v>463</v>
      </c>
    </row>
    <row r="236" spans="1:6">
      <c r="A236" s="439">
        <v>45569</v>
      </c>
      <c r="B236" s="423" t="s">
        <v>55</v>
      </c>
      <c r="C236" s="423" t="s">
        <v>331</v>
      </c>
      <c r="D236" s="394">
        <v>300</v>
      </c>
      <c r="E236" s="423" t="s">
        <v>396</v>
      </c>
      <c r="F236" s="423">
        <v>467</v>
      </c>
    </row>
    <row r="237" spans="1:6">
      <c r="A237" s="439">
        <v>45574</v>
      </c>
      <c r="B237" s="423" t="s">
        <v>55</v>
      </c>
      <c r="C237" s="423" t="s">
        <v>331</v>
      </c>
      <c r="D237" s="394">
        <v>154000</v>
      </c>
      <c r="E237" s="423" t="s">
        <v>125</v>
      </c>
      <c r="F237" s="423" t="s">
        <v>421</v>
      </c>
    </row>
    <row r="238" spans="1:6">
      <c r="A238" s="439">
        <v>45575</v>
      </c>
      <c r="B238" s="423" t="s">
        <v>63</v>
      </c>
      <c r="C238" s="423" t="s">
        <v>335</v>
      </c>
      <c r="D238" s="394">
        <v>2070</v>
      </c>
      <c r="E238" s="423" t="s">
        <v>226</v>
      </c>
      <c r="F238" s="423">
        <v>466</v>
      </c>
    </row>
    <row r="239" spans="1:6">
      <c r="A239" s="439">
        <v>45580</v>
      </c>
      <c r="B239" s="423" t="s">
        <v>8</v>
      </c>
      <c r="C239" s="423" t="s">
        <v>354</v>
      </c>
      <c r="D239" s="394">
        <v>3000</v>
      </c>
      <c r="E239" s="423" t="s">
        <v>248</v>
      </c>
      <c r="F239" s="423">
        <v>468</v>
      </c>
    </row>
    <row r="240" spans="1:6">
      <c r="A240" s="439">
        <v>45588</v>
      </c>
      <c r="B240" s="423" t="s">
        <v>78</v>
      </c>
      <c r="C240" s="423" t="s">
        <v>360</v>
      </c>
      <c r="D240" s="394">
        <v>3000</v>
      </c>
      <c r="E240" s="423" t="s">
        <v>248</v>
      </c>
      <c r="F240" s="423">
        <v>469</v>
      </c>
    </row>
    <row r="241" spans="1:8">
      <c r="A241" s="439">
        <v>45594</v>
      </c>
      <c r="B241" s="423" t="s">
        <v>86</v>
      </c>
      <c r="C241" s="423" t="s">
        <v>399</v>
      </c>
      <c r="D241" s="394">
        <v>71942.899999999994</v>
      </c>
      <c r="E241" s="423" t="s">
        <v>248</v>
      </c>
      <c r="F241" s="423">
        <v>471</v>
      </c>
    </row>
    <row r="242" spans="1:8">
      <c r="A242" s="439">
        <v>45602</v>
      </c>
      <c r="B242" s="423" t="s">
        <v>49</v>
      </c>
      <c r="C242" s="423" t="s">
        <v>48</v>
      </c>
      <c r="D242" s="394">
        <v>1000</v>
      </c>
      <c r="E242" s="423" t="s">
        <v>248</v>
      </c>
      <c r="F242" s="423">
        <v>475</v>
      </c>
    </row>
    <row r="243" spans="1:8">
      <c r="A243" s="439">
        <v>45604</v>
      </c>
      <c r="B243" s="423" t="s">
        <v>59</v>
      </c>
      <c r="C243" s="423" t="s">
        <v>367</v>
      </c>
      <c r="D243" s="394">
        <v>3000</v>
      </c>
      <c r="E243" s="423" t="s">
        <v>248</v>
      </c>
      <c r="F243" s="423">
        <v>472</v>
      </c>
    </row>
    <row r="244" spans="1:8">
      <c r="A244" s="439">
        <v>45604</v>
      </c>
      <c r="B244" s="423" t="s">
        <v>27</v>
      </c>
      <c r="C244" s="423" t="s">
        <v>263</v>
      </c>
      <c r="D244" s="394">
        <v>122000</v>
      </c>
      <c r="E244" s="423" t="s">
        <v>125</v>
      </c>
      <c r="F244" s="423" t="s">
        <v>421</v>
      </c>
    </row>
    <row r="245" spans="1:8">
      <c r="A245" s="439">
        <v>45611</v>
      </c>
      <c r="B245" s="423" t="s">
        <v>56</v>
      </c>
      <c r="C245" s="423" t="s">
        <v>57</v>
      </c>
      <c r="D245" s="394">
        <v>2000</v>
      </c>
      <c r="E245" s="423" t="s">
        <v>248</v>
      </c>
      <c r="F245" s="423">
        <v>476</v>
      </c>
    </row>
    <row r="246" spans="1:8">
      <c r="A246" s="439">
        <v>45614</v>
      </c>
      <c r="B246" s="423" t="s">
        <v>56</v>
      </c>
      <c r="C246" s="423" t="s">
        <v>57</v>
      </c>
      <c r="D246" s="394">
        <v>153000</v>
      </c>
      <c r="E246" s="423" t="s">
        <v>125</v>
      </c>
      <c r="F246" s="423" t="s">
        <v>421</v>
      </c>
    </row>
    <row r="247" spans="1:8">
      <c r="A247" s="439">
        <v>45614</v>
      </c>
      <c r="B247" s="423" t="s">
        <v>7</v>
      </c>
      <c r="C247" s="423" t="s">
        <v>5</v>
      </c>
      <c r="D247" s="394">
        <v>143574.96</v>
      </c>
      <c r="E247" s="423" t="s">
        <v>125</v>
      </c>
      <c r="F247" s="423" t="s">
        <v>421</v>
      </c>
      <c r="H247" s="440"/>
    </row>
    <row r="248" spans="1:8">
      <c r="A248" s="439">
        <v>45616</v>
      </c>
      <c r="B248" s="423" t="s">
        <v>55</v>
      </c>
      <c r="C248" s="423" t="s">
        <v>331</v>
      </c>
      <c r="D248" s="394">
        <v>1996.37</v>
      </c>
      <c r="E248" s="423" t="s">
        <v>248</v>
      </c>
      <c r="F248" s="423">
        <v>477</v>
      </c>
    </row>
    <row r="249" spans="1:8">
      <c r="A249" s="439">
        <v>45616</v>
      </c>
      <c r="B249" s="423" t="s">
        <v>27</v>
      </c>
      <c r="C249" s="423" t="s">
        <v>263</v>
      </c>
      <c r="D249" s="394">
        <v>500</v>
      </c>
      <c r="E249" s="423" t="s">
        <v>395</v>
      </c>
      <c r="F249" s="423">
        <v>486</v>
      </c>
    </row>
    <row r="250" spans="1:8">
      <c r="A250" s="439">
        <v>45618</v>
      </c>
      <c r="B250" s="423" t="s">
        <v>4</v>
      </c>
      <c r="C250" s="423" t="s">
        <v>400</v>
      </c>
      <c r="D250" s="394">
        <v>1900</v>
      </c>
      <c r="E250" s="423" t="s">
        <v>226</v>
      </c>
      <c r="F250" s="423">
        <v>487</v>
      </c>
    </row>
    <row r="251" spans="1:8">
      <c r="A251" s="439">
        <v>45619</v>
      </c>
      <c r="B251" s="423" t="s">
        <v>16</v>
      </c>
      <c r="C251" s="423" t="s">
        <v>14</v>
      </c>
      <c r="D251" s="394">
        <v>3000</v>
      </c>
      <c r="E251" s="423" t="s">
        <v>125</v>
      </c>
      <c r="F251" s="423">
        <v>478</v>
      </c>
    </row>
    <row r="252" spans="1:8">
      <c r="A252" s="439">
        <v>45622</v>
      </c>
      <c r="B252" s="423" t="s">
        <v>27</v>
      </c>
      <c r="C252" s="423" t="s">
        <v>263</v>
      </c>
      <c r="D252" s="394">
        <v>300</v>
      </c>
      <c r="E252" s="423" t="s">
        <v>396</v>
      </c>
      <c r="F252" s="423">
        <v>36</v>
      </c>
    </row>
    <row r="253" spans="1:8">
      <c r="A253" s="439">
        <v>45622</v>
      </c>
      <c r="B253" s="423" t="s">
        <v>32</v>
      </c>
      <c r="C253" s="423" t="s">
        <v>384</v>
      </c>
      <c r="D253" s="394">
        <v>20</v>
      </c>
      <c r="E253" s="423" t="s">
        <v>226</v>
      </c>
      <c r="F253" s="423">
        <v>480</v>
      </c>
    </row>
    <row r="254" spans="1:8">
      <c r="A254" s="439">
        <v>45626</v>
      </c>
      <c r="B254" s="423" t="s">
        <v>16</v>
      </c>
      <c r="C254" s="423" t="s">
        <v>14</v>
      </c>
      <c r="D254" s="394">
        <v>500</v>
      </c>
      <c r="E254" s="423" t="s">
        <v>395</v>
      </c>
      <c r="F254" s="423">
        <v>63</v>
      </c>
    </row>
    <row r="255" spans="1:8">
      <c r="A255" s="439">
        <v>45626</v>
      </c>
      <c r="B255" s="423" t="s">
        <v>77</v>
      </c>
      <c r="C255" s="423" t="s">
        <v>75</v>
      </c>
      <c r="D255" s="394">
        <v>500</v>
      </c>
      <c r="E255" s="423" t="s">
        <v>248</v>
      </c>
      <c r="F255" s="423">
        <v>482</v>
      </c>
    </row>
    <row r="256" spans="1:8">
      <c r="A256" s="439">
        <v>45626</v>
      </c>
      <c r="B256" s="423" t="s">
        <v>16</v>
      </c>
      <c r="C256" s="423" t="s">
        <v>14</v>
      </c>
      <c r="D256" s="394">
        <v>9944.75</v>
      </c>
      <c r="E256" s="423" t="s">
        <v>125</v>
      </c>
      <c r="F256" s="423">
        <v>484</v>
      </c>
    </row>
    <row r="257" spans="1:6">
      <c r="A257" s="439">
        <v>45626</v>
      </c>
      <c r="B257" s="423" t="s">
        <v>16</v>
      </c>
      <c r="C257" s="423" t="s">
        <v>14</v>
      </c>
      <c r="D257" s="394">
        <v>300</v>
      </c>
      <c r="E257" s="423" t="s">
        <v>396</v>
      </c>
      <c r="F257" s="423">
        <v>485</v>
      </c>
    </row>
    <row r="258" spans="1:6">
      <c r="A258" s="439">
        <v>45629</v>
      </c>
      <c r="B258" s="423" t="s">
        <v>56</v>
      </c>
      <c r="C258" s="423" t="s">
        <v>57</v>
      </c>
      <c r="D258" s="394">
        <v>2267.5</v>
      </c>
      <c r="E258" s="423" t="s">
        <v>248</v>
      </c>
      <c r="F258" s="423">
        <v>486</v>
      </c>
    </row>
    <row r="259" spans="1:6">
      <c r="A259" s="439">
        <v>45631</v>
      </c>
      <c r="B259" s="423" t="s">
        <v>63</v>
      </c>
      <c r="C259" s="423" t="s">
        <v>335</v>
      </c>
      <c r="D259" s="394">
        <v>142000</v>
      </c>
      <c r="E259" s="423" t="s">
        <v>125</v>
      </c>
      <c r="F259" s="423" t="s">
        <v>421</v>
      </c>
    </row>
    <row r="260" spans="1:6">
      <c r="A260" s="447">
        <v>45638</v>
      </c>
      <c r="B260" s="448" t="s">
        <v>55</v>
      </c>
      <c r="C260" s="448" t="s">
        <v>331</v>
      </c>
      <c r="D260" s="449">
        <v>2000</v>
      </c>
      <c r="E260" s="448" t="s">
        <v>248</v>
      </c>
      <c r="F260" s="448">
        <v>489</v>
      </c>
    </row>
    <row r="261" spans="1:6">
      <c r="A261" s="439">
        <v>45638</v>
      </c>
      <c r="B261" s="423" t="s">
        <v>37</v>
      </c>
      <c r="C261" s="423" t="s">
        <v>36</v>
      </c>
      <c r="D261" s="394">
        <v>50000</v>
      </c>
      <c r="E261" s="423" t="s">
        <v>248</v>
      </c>
      <c r="F261" s="423">
        <v>492</v>
      </c>
    </row>
    <row r="262" spans="1:6">
      <c r="A262" s="439">
        <v>45638</v>
      </c>
      <c r="B262" s="423" t="s">
        <v>61</v>
      </c>
      <c r="C262" s="423" t="s">
        <v>339</v>
      </c>
      <c r="D262" s="394">
        <v>132500</v>
      </c>
      <c r="E262" s="423" t="s">
        <v>125</v>
      </c>
      <c r="F262" s="423" t="s">
        <v>421</v>
      </c>
    </row>
    <row r="263" spans="1:6">
      <c r="A263" s="439">
        <v>45639</v>
      </c>
      <c r="B263" s="423" t="s">
        <v>78</v>
      </c>
      <c r="C263" s="423" t="s">
        <v>360</v>
      </c>
      <c r="D263" s="394">
        <v>11801</v>
      </c>
      <c r="E263" s="423" t="s">
        <v>248</v>
      </c>
      <c r="F263" s="423">
        <v>491</v>
      </c>
    </row>
    <row r="264" spans="1:6">
      <c r="A264" s="439">
        <v>45659</v>
      </c>
      <c r="B264" s="423" t="s">
        <v>49</v>
      </c>
      <c r="C264" s="423" t="s">
        <v>48</v>
      </c>
      <c r="D264" s="394">
        <v>1000</v>
      </c>
      <c r="E264" s="423" t="s">
        <v>248</v>
      </c>
      <c r="F264" s="423">
        <v>493</v>
      </c>
    </row>
    <row r="265" spans="1:6">
      <c r="A265" s="439">
        <v>45660</v>
      </c>
      <c r="B265" s="423" t="s">
        <v>28</v>
      </c>
      <c r="C265" s="423" t="s">
        <v>416</v>
      </c>
      <c r="D265" s="394">
        <v>10000</v>
      </c>
      <c r="E265" s="423" t="s">
        <v>248</v>
      </c>
      <c r="F265" s="423">
        <v>494</v>
      </c>
    </row>
    <row r="266" spans="1:6">
      <c r="A266" s="439">
        <v>45663</v>
      </c>
      <c r="B266" s="423" t="s">
        <v>59</v>
      </c>
      <c r="C266" s="423" t="s">
        <v>367</v>
      </c>
      <c r="D266" s="394">
        <v>17000</v>
      </c>
      <c r="E266" s="423" t="s">
        <v>248</v>
      </c>
      <c r="F266" s="423">
        <v>495</v>
      </c>
    </row>
    <row r="267" spans="1:6">
      <c r="A267" s="439">
        <v>45663</v>
      </c>
      <c r="B267" s="423" t="s">
        <v>8</v>
      </c>
      <c r="C267" s="423" t="s">
        <v>354</v>
      </c>
      <c r="D267" s="394">
        <v>17378.900000000001</v>
      </c>
      <c r="E267" s="423" t="s">
        <v>248</v>
      </c>
      <c r="F267" s="423">
        <v>496</v>
      </c>
    </row>
    <row r="268" spans="1:6">
      <c r="A268" s="439">
        <v>45667</v>
      </c>
      <c r="B268" s="423" t="s">
        <v>28</v>
      </c>
      <c r="C268" s="423" t="s">
        <v>416</v>
      </c>
      <c r="D268" s="394">
        <v>27055.9</v>
      </c>
      <c r="E268" s="423" t="s">
        <v>248</v>
      </c>
      <c r="F268" s="423">
        <v>498</v>
      </c>
    </row>
    <row r="269" spans="1:6">
      <c r="A269" s="439">
        <v>45667</v>
      </c>
      <c r="B269" s="423" t="s">
        <v>66</v>
      </c>
      <c r="C269" s="423" t="s">
        <v>64</v>
      </c>
      <c r="D269" s="394">
        <v>500</v>
      </c>
      <c r="E269" s="423" t="s">
        <v>395</v>
      </c>
    </row>
    <row r="270" spans="1:6">
      <c r="A270" s="439">
        <v>45667</v>
      </c>
      <c r="B270" s="423" t="s">
        <v>66</v>
      </c>
      <c r="C270" s="423" t="s">
        <v>64</v>
      </c>
      <c r="D270" s="394">
        <v>300</v>
      </c>
      <c r="E270" s="423" t="s">
        <v>396</v>
      </c>
    </row>
    <row r="271" spans="1:6">
      <c r="A271" s="439">
        <v>45672</v>
      </c>
      <c r="B271" s="423" t="s">
        <v>53</v>
      </c>
      <c r="C271" s="423" t="s">
        <v>403</v>
      </c>
      <c r="D271" s="394">
        <v>3000</v>
      </c>
      <c r="E271" s="423" t="s">
        <v>248</v>
      </c>
      <c r="F271" s="423">
        <v>306</v>
      </c>
    </row>
    <row r="272" spans="1:6">
      <c r="A272" s="439">
        <v>45672</v>
      </c>
      <c r="B272" s="423" t="s">
        <v>54</v>
      </c>
      <c r="C272" s="423" t="s">
        <v>405</v>
      </c>
      <c r="D272" s="394">
        <v>2947.9</v>
      </c>
      <c r="E272" s="423" t="s">
        <v>248</v>
      </c>
      <c r="F272" s="423">
        <v>500</v>
      </c>
    </row>
    <row r="273" spans="1:6">
      <c r="A273" s="439">
        <v>45675</v>
      </c>
      <c r="B273" s="423" t="s">
        <v>50</v>
      </c>
      <c r="C273" s="423" t="s">
        <v>411</v>
      </c>
      <c r="D273" s="394">
        <v>3000</v>
      </c>
      <c r="E273" s="423" t="s">
        <v>248</v>
      </c>
      <c r="F273" s="423">
        <v>502</v>
      </c>
    </row>
    <row r="274" spans="1:6">
      <c r="A274" s="439">
        <v>45679</v>
      </c>
      <c r="B274" s="423" t="s">
        <v>77</v>
      </c>
      <c r="C274" s="423" t="s">
        <v>75</v>
      </c>
      <c r="D274" s="394">
        <v>126389.44</v>
      </c>
      <c r="E274" s="423" t="s">
        <v>125</v>
      </c>
      <c r="F274" s="423" t="s">
        <v>421</v>
      </c>
    </row>
    <row r="275" spans="1:6">
      <c r="A275" s="439">
        <v>45680</v>
      </c>
      <c r="B275" s="423" t="s">
        <v>38</v>
      </c>
      <c r="C275" s="423" t="s">
        <v>294</v>
      </c>
      <c r="D275" s="394">
        <v>3235.9</v>
      </c>
      <c r="E275" s="423" t="s">
        <v>248</v>
      </c>
      <c r="F275" s="423">
        <v>503</v>
      </c>
    </row>
    <row r="276" spans="1:6">
      <c r="A276" s="439">
        <v>45681</v>
      </c>
      <c r="B276" s="423" t="s">
        <v>59</v>
      </c>
      <c r="C276" s="423" t="s">
        <v>367</v>
      </c>
      <c r="D276" s="394">
        <v>500</v>
      </c>
      <c r="E276" s="423" t="s">
        <v>395</v>
      </c>
      <c r="F276" s="423">
        <v>71</v>
      </c>
    </row>
    <row r="277" spans="1:6">
      <c r="A277" s="439">
        <v>45681</v>
      </c>
      <c r="B277" s="423" t="s">
        <v>55</v>
      </c>
      <c r="C277" s="423" t="s">
        <v>331</v>
      </c>
      <c r="D277" s="394">
        <v>500</v>
      </c>
      <c r="E277" s="423" t="s">
        <v>248</v>
      </c>
      <c r="F277" s="423">
        <v>504</v>
      </c>
    </row>
    <row r="278" spans="1:6">
      <c r="A278" s="439">
        <v>45681</v>
      </c>
      <c r="B278" s="423" t="s">
        <v>59</v>
      </c>
      <c r="C278" s="423" t="s">
        <v>367</v>
      </c>
      <c r="D278" s="394">
        <v>300</v>
      </c>
      <c r="E278" s="423" t="s">
        <v>396</v>
      </c>
      <c r="F278" s="423">
        <v>505</v>
      </c>
    </row>
    <row r="279" spans="1:6">
      <c r="A279" s="439">
        <v>45685</v>
      </c>
      <c r="B279" s="423" t="s">
        <v>86</v>
      </c>
      <c r="C279" s="423" t="s">
        <v>399</v>
      </c>
      <c r="D279" s="394">
        <v>175000</v>
      </c>
      <c r="E279" s="423" t="s">
        <v>125</v>
      </c>
      <c r="F279" s="423" t="s">
        <v>422</v>
      </c>
    </row>
    <row r="280" spans="1:6">
      <c r="A280" s="439">
        <v>45688</v>
      </c>
      <c r="B280" s="423" t="s">
        <v>86</v>
      </c>
      <c r="C280" s="423" t="s">
        <v>399</v>
      </c>
      <c r="D280" s="394">
        <v>2100</v>
      </c>
      <c r="E280" s="423" t="s">
        <v>226</v>
      </c>
      <c r="F280" s="423">
        <v>506</v>
      </c>
    </row>
    <row r="281" spans="1:6">
      <c r="A281" s="439">
        <v>45691</v>
      </c>
      <c r="B281" s="423" t="s">
        <v>81</v>
      </c>
      <c r="C281" s="423" t="s">
        <v>414</v>
      </c>
      <c r="D281" s="394">
        <v>2947.9</v>
      </c>
      <c r="E281" s="423" t="s">
        <v>248</v>
      </c>
      <c r="F281" s="423">
        <v>507</v>
      </c>
    </row>
    <row r="282" spans="1:6">
      <c r="A282" s="439">
        <v>45693</v>
      </c>
      <c r="B282" s="423" t="s">
        <v>86</v>
      </c>
      <c r="C282" s="423" t="s">
        <v>399</v>
      </c>
      <c r="D282" s="394">
        <v>500</v>
      </c>
      <c r="E282" s="423" t="s">
        <v>395</v>
      </c>
      <c r="F282" s="423">
        <v>87</v>
      </c>
    </row>
    <row r="283" spans="1:6">
      <c r="A283" s="439">
        <v>45693</v>
      </c>
      <c r="B283" s="423" t="s">
        <v>41</v>
      </c>
      <c r="C283" s="423" t="s">
        <v>39</v>
      </c>
      <c r="D283" s="394">
        <v>300</v>
      </c>
      <c r="E283" s="423" t="s">
        <v>396</v>
      </c>
      <c r="F283" s="423">
        <v>508</v>
      </c>
    </row>
    <row r="284" spans="1:6">
      <c r="A284" s="439">
        <v>45694</v>
      </c>
      <c r="B284" s="423" t="s">
        <v>55</v>
      </c>
      <c r="C284" s="423" t="s">
        <v>331</v>
      </c>
      <c r="D284" s="394">
        <v>1000</v>
      </c>
      <c r="E284" s="423" t="s">
        <v>248</v>
      </c>
      <c r="F284" s="423">
        <v>509</v>
      </c>
    </row>
    <row r="285" spans="1:6">
      <c r="A285" s="439">
        <v>45696</v>
      </c>
      <c r="B285" s="423" t="s">
        <v>77</v>
      </c>
      <c r="C285" s="423" t="s">
        <v>75</v>
      </c>
      <c r="D285" s="394">
        <v>300</v>
      </c>
      <c r="E285" s="423" t="s">
        <v>396</v>
      </c>
      <c r="F285" s="423">
        <v>510</v>
      </c>
    </row>
    <row r="286" spans="1:6">
      <c r="A286" s="439">
        <v>45698</v>
      </c>
      <c r="B286" s="423" t="s">
        <v>56</v>
      </c>
      <c r="C286" s="423" t="s">
        <v>57</v>
      </c>
      <c r="D286" s="394">
        <v>500</v>
      </c>
      <c r="E286" s="423" t="s">
        <v>395</v>
      </c>
      <c r="F286" s="423">
        <v>90</v>
      </c>
    </row>
    <row r="287" spans="1:6">
      <c r="A287" s="439">
        <v>45698</v>
      </c>
      <c r="B287" s="423" t="s">
        <v>56</v>
      </c>
      <c r="C287" s="423" t="s">
        <v>57</v>
      </c>
      <c r="D287" s="394">
        <v>300</v>
      </c>
      <c r="E287" s="423" t="s">
        <v>396</v>
      </c>
      <c r="F287" s="423">
        <v>511</v>
      </c>
    </row>
    <row r="288" spans="1:6">
      <c r="A288" s="439">
        <v>45706</v>
      </c>
      <c r="B288" s="423" t="s">
        <v>61</v>
      </c>
      <c r="C288" s="423" t="s">
        <v>339</v>
      </c>
      <c r="D288" s="394">
        <v>500</v>
      </c>
      <c r="E288" s="423" t="s">
        <v>395</v>
      </c>
      <c r="F288" s="423">
        <v>91</v>
      </c>
    </row>
    <row r="289" spans="1:8">
      <c r="A289" s="439">
        <v>45706</v>
      </c>
      <c r="B289" s="423" t="s">
        <v>28</v>
      </c>
      <c r="C289" s="423" t="s">
        <v>416</v>
      </c>
      <c r="D289" s="394">
        <v>500</v>
      </c>
      <c r="E289" s="423" t="s">
        <v>395</v>
      </c>
      <c r="F289" s="423">
        <v>92</v>
      </c>
    </row>
    <row r="290" spans="1:8">
      <c r="A290" s="439">
        <v>45706</v>
      </c>
      <c r="B290" s="423" t="s">
        <v>61</v>
      </c>
      <c r="C290" s="423" t="s">
        <v>339</v>
      </c>
      <c r="D290" s="394">
        <v>300</v>
      </c>
      <c r="E290" s="423" t="s">
        <v>396</v>
      </c>
      <c r="F290" s="423">
        <v>512</v>
      </c>
    </row>
    <row r="291" spans="1:8">
      <c r="A291" s="439">
        <v>45706</v>
      </c>
      <c r="B291" s="423" t="s">
        <v>28</v>
      </c>
      <c r="C291" s="423" t="s">
        <v>416</v>
      </c>
      <c r="D291" s="394">
        <v>300</v>
      </c>
      <c r="E291" s="423" t="s">
        <v>396</v>
      </c>
      <c r="F291" s="423">
        <v>513</v>
      </c>
    </row>
    <row r="292" spans="1:8">
      <c r="A292" s="439">
        <v>45706</v>
      </c>
      <c r="B292" s="423" t="s">
        <v>37</v>
      </c>
      <c r="C292" s="423" t="s">
        <v>36</v>
      </c>
      <c r="D292" s="394">
        <v>30000</v>
      </c>
      <c r="E292" s="423" t="s">
        <v>248</v>
      </c>
      <c r="F292" s="423">
        <v>514</v>
      </c>
    </row>
    <row r="293" spans="1:8">
      <c r="A293" s="439">
        <v>45712</v>
      </c>
      <c r="B293" s="423" t="s">
        <v>49</v>
      </c>
      <c r="C293" s="442" t="s">
        <v>48</v>
      </c>
      <c r="D293" s="394">
        <v>1000</v>
      </c>
      <c r="E293" s="423" t="s">
        <v>248</v>
      </c>
      <c r="F293" s="423">
        <v>516</v>
      </c>
    </row>
    <row r="294" spans="1:8">
      <c r="A294" s="439">
        <v>45713</v>
      </c>
      <c r="B294" s="423" t="s">
        <v>52</v>
      </c>
      <c r="C294" s="423" t="s">
        <v>445</v>
      </c>
      <c r="D294" s="394">
        <v>3000</v>
      </c>
      <c r="E294" s="423" t="s">
        <v>248</v>
      </c>
      <c r="F294" s="423">
        <v>517</v>
      </c>
    </row>
    <row r="295" spans="1:8">
      <c r="A295" s="439">
        <v>45721</v>
      </c>
      <c r="B295" s="423" t="s">
        <v>54</v>
      </c>
      <c r="C295" s="442" t="s">
        <v>405</v>
      </c>
      <c r="D295" s="394">
        <v>53042.9</v>
      </c>
      <c r="E295" s="423" t="s">
        <v>248</v>
      </c>
      <c r="F295" s="423">
        <v>518</v>
      </c>
    </row>
    <row r="296" spans="1:8">
      <c r="A296" s="439">
        <v>45721</v>
      </c>
      <c r="B296" s="423" t="s">
        <v>54</v>
      </c>
      <c r="C296" s="442" t="s">
        <v>405</v>
      </c>
      <c r="D296" s="394">
        <v>130900</v>
      </c>
      <c r="E296" s="423" t="s">
        <v>125</v>
      </c>
      <c r="F296" s="423">
        <v>518</v>
      </c>
    </row>
    <row r="297" spans="1:8">
      <c r="A297" s="439">
        <v>45722</v>
      </c>
      <c r="B297" s="423" t="s">
        <v>49</v>
      </c>
      <c r="C297" s="442" t="s">
        <v>48</v>
      </c>
      <c r="D297" s="394">
        <v>2000</v>
      </c>
      <c r="E297" s="423" t="s">
        <v>248</v>
      </c>
      <c r="F297" s="423">
        <v>519</v>
      </c>
    </row>
    <row r="298" spans="1:8">
      <c r="A298" s="439">
        <v>45726</v>
      </c>
      <c r="B298" s="423" t="s">
        <v>51</v>
      </c>
      <c r="C298" s="423" t="s">
        <v>447</v>
      </c>
      <c r="D298" s="394">
        <v>3000</v>
      </c>
      <c r="E298" s="423" t="s">
        <v>248</v>
      </c>
      <c r="F298" s="423">
        <v>520</v>
      </c>
    </row>
    <row r="299" spans="1:8">
      <c r="A299" s="439">
        <v>45728</v>
      </c>
      <c r="B299" s="423" t="s">
        <v>55</v>
      </c>
      <c r="C299" s="423" t="s">
        <v>331</v>
      </c>
      <c r="D299" s="394">
        <v>2000</v>
      </c>
      <c r="E299" s="423" t="s">
        <v>248</v>
      </c>
      <c r="F299" s="423">
        <v>521</v>
      </c>
    </row>
    <row r="300" spans="1:8">
      <c r="A300" s="439">
        <v>45730</v>
      </c>
      <c r="B300" s="423" t="s">
        <v>54</v>
      </c>
      <c r="C300" s="442" t="s">
        <v>405</v>
      </c>
      <c r="D300" s="394">
        <v>500</v>
      </c>
      <c r="E300" s="423" t="s">
        <v>395</v>
      </c>
      <c r="F300" s="423">
        <v>114</v>
      </c>
    </row>
    <row r="301" spans="1:8">
      <c r="A301" s="439">
        <v>45730</v>
      </c>
      <c r="B301" s="423" t="s">
        <v>35</v>
      </c>
      <c r="C301" s="423" t="s">
        <v>449</v>
      </c>
      <c r="D301" s="394">
        <v>2980</v>
      </c>
      <c r="E301" s="423" t="s">
        <v>248</v>
      </c>
      <c r="F301" s="423">
        <v>523</v>
      </c>
      <c r="H301" s="450"/>
    </row>
    <row r="302" spans="1:8">
      <c r="A302" s="439">
        <v>45730</v>
      </c>
      <c r="B302" s="423" t="s">
        <v>59</v>
      </c>
      <c r="C302" s="423" t="s">
        <v>367</v>
      </c>
      <c r="D302" s="394">
        <v>154000</v>
      </c>
      <c r="E302" s="423" t="s">
        <v>125</v>
      </c>
      <c r="F302" s="442" t="s">
        <v>421</v>
      </c>
      <c r="H302" s="440"/>
    </row>
    <row r="303" spans="1:8">
      <c r="A303" s="439">
        <v>45731</v>
      </c>
      <c r="B303" s="423" t="s">
        <v>54</v>
      </c>
      <c r="C303" s="442" t="s">
        <v>405</v>
      </c>
      <c r="D303" s="394">
        <v>300</v>
      </c>
      <c r="E303" s="423" t="s">
        <v>396</v>
      </c>
      <c r="F303" s="423">
        <v>524</v>
      </c>
    </row>
    <row r="304" spans="1:8">
      <c r="A304" s="439">
        <v>45741</v>
      </c>
      <c r="B304" s="423" t="s">
        <v>60</v>
      </c>
      <c r="C304" s="423" t="s">
        <v>347</v>
      </c>
      <c r="D304" s="394">
        <v>42000</v>
      </c>
      <c r="E304" s="423" t="s">
        <v>248</v>
      </c>
      <c r="F304" s="423">
        <v>525</v>
      </c>
    </row>
    <row r="305" spans="1:10">
      <c r="A305" s="439">
        <v>45742</v>
      </c>
      <c r="B305" s="423" t="s">
        <v>51</v>
      </c>
      <c r="C305" s="423" t="s">
        <v>447</v>
      </c>
      <c r="D305" s="394">
        <v>51900</v>
      </c>
      <c r="E305" s="423" t="s">
        <v>248</v>
      </c>
      <c r="F305" s="423">
        <v>526</v>
      </c>
    </row>
    <row r="306" spans="1:10">
      <c r="A306" s="439">
        <v>45747</v>
      </c>
      <c r="B306" s="423" t="s">
        <v>31</v>
      </c>
      <c r="C306" s="423" t="s">
        <v>293</v>
      </c>
      <c r="D306" s="394">
        <v>130000</v>
      </c>
      <c r="E306" s="423" t="s">
        <v>125</v>
      </c>
      <c r="F306" s="442" t="s">
        <v>421</v>
      </c>
    </row>
    <row r="307" spans="1:10">
      <c r="A307" s="439">
        <v>45751</v>
      </c>
      <c r="B307" s="423" t="s">
        <v>88</v>
      </c>
      <c r="C307" s="442" t="s">
        <v>457</v>
      </c>
      <c r="D307" s="394">
        <v>2992.9</v>
      </c>
      <c r="E307" s="423" t="s">
        <v>248</v>
      </c>
      <c r="F307" s="423">
        <v>527</v>
      </c>
    </row>
    <row r="308" spans="1:10">
      <c r="A308" s="439">
        <v>45761</v>
      </c>
      <c r="B308" s="423" t="s">
        <v>31</v>
      </c>
      <c r="C308" s="423" t="s">
        <v>293</v>
      </c>
      <c r="D308" s="394">
        <v>500</v>
      </c>
      <c r="E308" s="423" t="s">
        <v>395</v>
      </c>
      <c r="F308" s="423">
        <v>137</v>
      </c>
      <c r="I308" s="457"/>
    </row>
    <row r="309" spans="1:10">
      <c r="A309" s="439">
        <v>45761</v>
      </c>
      <c r="B309" s="423" t="s">
        <v>31</v>
      </c>
      <c r="C309" s="423" t="s">
        <v>293</v>
      </c>
      <c r="D309" s="394">
        <v>300</v>
      </c>
      <c r="E309" s="423" t="s">
        <v>396</v>
      </c>
      <c r="F309" s="423">
        <v>528</v>
      </c>
      <c r="I309" s="457"/>
    </row>
    <row r="310" spans="1:10">
      <c r="A310" s="439">
        <v>45762</v>
      </c>
      <c r="B310" s="423" t="s">
        <v>54</v>
      </c>
      <c r="C310" s="423" t="s">
        <v>405</v>
      </c>
      <c r="D310" s="394">
        <v>109.2</v>
      </c>
      <c r="E310" s="423" t="s">
        <v>248</v>
      </c>
      <c r="F310" s="423">
        <v>530</v>
      </c>
      <c r="I310" s="457"/>
    </row>
    <row r="311" spans="1:10">
      <c r="A311" s="439">
        <v>45763</v>
      </c>
      <c r="B311" s="423" t="s">
        <v>59</v>
      </c>
      <c r="C311" s="423" t="s">
        <v>367</v>
      </c>
      <c r="D311" s="394">
        <v>5000</v>
      </c>
      <c r="E311" s="423" t="s">
        <v>248</v>
      </c>
      <c r="F311" s="423">
        <v>531</v>
      </c>
      <c r="I311" s="457"/>
    </row>
    <row r="312" spans="1:10">
      <c r="A312" s="439">
        <v>45766</v>
      </c>
      <c r="B312" s="423" t="s">
        <v>54</v>
      </c>
      <c r="C312" s="423" t="s">
        <v>405</v>
      </c>
      <c r="D312" s="394">
        <v>1330</v>
      </c>
      <c r="E312" s="423" t="s">
        <v>226</v>
      </c>
      <c r="F312" s="423">
        <v>532</v>
      </c>
      <c r="I312" s="457"/>
      <c r="J312" s="457"/>
    </row>
    <row r="313" spans="1:10">
      <c r="A313" s="439">
        <v>45768</v>
      </c>
      <c r="B313" s="423" t="s">
        <v>3</v>
      </c>
      <c r="C313" s="423" t="s">
        <v>1</v>
      </c>
      <c r="D313" s="394">
        <v>25</v>
      </c>
      <c r="E313" s="423" t="s">
        <v>248</v>
      </c>
      <c r="F313" s="423">
        <v>533</v>
      </c>
      <c r="I313" s="457"/>
      <c r="J313" s="457"/>
    </row>
    <row r="314" spans="1:10">
      <c r="A314" s="439">
        <v>45768</v>
      </c>
      <c r="B314" s="423" t="s">
        <v>3</v>
      </c>
      <c r="C314" s="423" t="s">
        <v>1</v>
      </c>
      <c r="D314" s="394">
        <v>1600</v>
      </c>
      <c r="E314" s="423" t="s">
        <v>226</v>
      </c>
      <c r="F314" s="423">
        <v>534</v>
      </c>
      <c r="I314" s="457"/>
      <c r="J314" s="457"/>
    </row>
    <row r="315" spans="1:10">
      <c r="A315" s="439">
        <v>45768</v>
      </c>
      <c r="B315" s="423" t="s">
        <v>3</v>
      </c>
      <c r="C315" s="423" t="s">
        <v>1</v>
      </c>
      <c r="D315" s="394">
        <v>300</v>
      </c>
      <c r="E315" s="423" t="s">
        <v>396</v>
      </c>
      <c r="F315" s="423">
        <v>535</v>
      </c>
      <c r="I315" s="457"/>
      <c r="J315" s="457"/>
    </row>
    <row r="316" spans="1:10">
      <c r="A316" s="439">
        <v>45771</v>
      </c>
      <c r="B316" s="423" t="s">
        <v>37</v>
      </c>
      <c r="C316" s="423" t="s">
        <v>36</v>
      </c>
      <c r="D316" s="394">
        <v>26686.55</v>
      </c>
      <c r="E316" s="423" t="s">
        <v>248</v>
      </c>
      <c r="F316" s="423">
        <v>536</v>
      </c>
      <c r="J316" s="457"/>
    </row>
    <row r="317" spans="1:10">
      <c r="A317" s="439">
        <v>45776</v>
      </c>
      <c r="B317" s="423" t="s">
        <v>8</v>
      </c>
      <c r="C317" s="423" t="s">
        <v>354</v>
      </c>
      <c r="D317" s="451">
        <v>40900</v>
      </c>
      <c r="E317" s="423" t="s">
        <v>248</v>
      </c>
      <c r="F317" s="423">
        <v>537</v>
      </c>
    </row>
    <row r="318" spans="1:10">
      <c r="A318" s="439">
        <v>45776</v>
      </c>
      <c r="B318" s="423" t="s">
        <v>78</v>
      </c>
      <c r="C318" s="423" t="s">
        <v>360</v>
      </c>
      <c r="D318" s="394">
        <v>170199</v>
      </c>
      <c r="E318" s="423" t="s">
        <v>125</v>
      </c>
      <c r="F318" s="423" t="s">
        <v>421</v>
      </c>
    </row>
    <row r="319" spans="1:10">
      <c r="A319" s="439">
        <v>45779</v>
      </c>
      <c r="B319" s="423" t="s">
        <v>81</v>
      </c>
      <c r="C319" s="423" t="s">
        <v>414</v>
      </c>
      <c r="D319" s="394">
        <v>67742.899999999994</v>
      </c>
      <c r="E319" s="423" t="s">
        <v>248</v>
      </c>
      <c r="F319" s="423">
        <v>538</v>
      </c>
    </row>
    <row r="320" spans="1:10">
      <c r="A320" s="439">
        <v>45780</v>
      </c>
      <c r="B320" s="423" t="s">
        <v>35</v>
      </c>
      <c r="C320" s="423" t="s">
        <v>449</v>
      </c>
      <c r="D320" s="394">
        <v>86649.9</v>
      </c>
      <c r="E320" s="423" t="s">
        <v>248</v>
      </c>
      <c r="F320" s="423">
        <v>539</v>
      </c>
    </row>
    <row r="321" spans="1:6">
      <c r="A321" s="439">
        <v>45780</v>
      </c>
      <c r="B321" s="423" t="s">
        <v>60</v>
      </c>
      <c r="C321" s="423" t="s">
        <v>347</v>
      </c>
      <c r="D321" s="452">
        <v>104942.9</v>
      </c>
      <c r="E321" s="423" t="s">
        <v>125</v>
      </c>
      <c r="F321" s="423">
        <v>540</v>
      </c>
    </row>
    <row r="322" spans="1:6">
      <c r="A322" s="439">
        <v>45782</v>
      </c>
      <c r="B322" s="423" t="s">
        <v>55</v>
      </c>
      <c r="C322" s="423" t="s">
        <v>331</v>
      </c>
      <c r="D322" s="394">
        <v>2000</v>
      </c>
      <c r="E322" s="423" t="s">
        <v>248</v>
      </c>
      <c r="F322" s="423">
        <v>541</v>
      </c>
    </row>
    <row r="323" spans="1:6">
      <c r="A323" s="439">
        <v>45784</v>
      </c>
      <c r="B323" s="423" t="s">
        <v>4</v>
      </c>
      <c r="C323" s="423" t="s">
        <v>400</v>
      </c>
      <c r="D323" s="394">
        <v>300</v>
      </c>
      <c r="E323" s="423" t="s">
        <v>396</v>
      </c>
      <c r="F323" s="423">
        <v>542</v>
      </c>
    </row>
    <row r="324" spans="1:6">
      <c r="A324" s="439">
        <v>45785</v>
      </c>
      <c r="B324" s="423" t="s">
        <v>88</v>
      </c>
      <c r="C324" s="442" t="s">
        <v>457</v>
      </c>
      <c r="D324" s="452">
        <v>88478.49</v>
      </c>
      <c r="E324" s="423" t="s">
        <v>248</v>
      </c>
      <c r="F324" s="423">
        <v>543</v>
      </c>
    </row>
    <row r="325" spans="1:6">
      <c r="A325" s="439">
        <v>45786</v>
      </c>
      <c r="B325" s="423" t="s">
        <v>60</v>
      </c>
      <c r="C325" s="423" t="s">
        <v>347</v>
      </c>
      <c r="D325" s="394">
        <v>57.1</v>
      </c>
      <c r="E325" s="423" t="s">
        <v>125</v>
      </c>
      <c r="F325" s="423">
        <v>544</v>
      </c>
    </row>
    <row r="326" spans="1:6">
      <c r="A326" s="439">
        <v>45786</v>
      </c>
      <c r="B326" s="423" t="s">
        <v>53</v>
      </c>
      <c r="C326" s="423" t="s">
        <v>403</v>
      </c>
      <c r="D326" s="394">
        <v>30000</v>
      </c>
      <c r="E326" s="423" t="s">
        <v>248</v>
      </c>
      <c r="F326" s="423">
        <v>545</v>
      </c>
    </row>
    <row r="327" spans="1:6">
      <c r="A327" s="439">
        <v>45786</v>
      </c>
      <c r="B327" s="423" t="s">
        <v>49</v>
      </c>
      <c r="C327" s="423" t="s">
        <v>48</v>
      </c>
      <c r="D327" s="394">
        <v>300</v>
      </c>
      <c r="E327" s="423" t="s">
        <v>396</v>
      </c>
      <c r="F327" s="423">
        <v>546</v>
      </c>
    </row>
    <row r="328" spans="1:6">
      <c r="A328" s="439">
        <v>45786</v>
      </c>
      <c r="B328" s="423" t="s">
        <v>49</v>
      </c>
      <c r="C328" s="423" t="s">
        <v>48</v>
      </c>
      <c r="D328" s="394">
        <v>1000</v>
      </c>
      <c r="E328" s="423" t="s">
        <v>248</v>
      </c>
      <c r="F328" s="423">
        <v>547</v>
      </c>
    </row>
    <row r="329" spans="1:6">
      <c r="A329" s="439">
        <v>45793</v>
      </c>
      <c r="B329" s="423" t="s">
        <v>38</v>
      </c>
      <c r="C329" s="423" t="s">
        <v>463</v>
      </c>
      <c r="D329" s="394">
        <v>3000</v>
      </c>
      <c r="E329" s="423" t="s">
        <v>248</v>
      </c>
      <c r="F329" s="423">
        <v>549</v>
      </c>
    </row>
    <row r="330" spans="1:6">
      <c r="A330" s="439">
        <v>45798</v>
      </c>
      <c r="B330" s="423" t="s">
        <v>13</v>
      </c>
      <c r="C330" s="423" t="s">
        <v>12</v>
      </c>
      <c r="D330" s="394">
        <v>500</v>
      </c>
      <c r="E330" s="423" t="s">
        <v>395</v>
      </c>
      <c r="F330" s="423">
        <v>170</v>
      </c>
    </row>
    <row r="331" spans="1:6">
      <c r="A331" s="439">
        <v>45798</v>
      </c>
      <c r="B331" s="423" t="s">
        <v>13</v>
      </c>
      <c r="C331" s="423" t="s">
        <v>12</v>
      </c>
      <c r="D331" s="394">
        <v>22.1</v>
      </c>
      <c r="E331" s="423" t="s">
        <v>226</v>
      </c>
      <c r="F331" s="423">
        <v>550</v>
      </c>
    </row>
    <row r="332" spans="1:6">
      <c r="A332" s="439">
        <v>45799</v>
      </c>
      <c r="B332" s="423" t="s">
        <v>77</v>
      </c>
      <c r="C332" s="423" t="s">
        <v>75</v>
      </c>
      <c r="D332" s="394">
        <v>300</v>
      </c>
      <c r="E332" s="423" t="s">
        <v>452</v>
      </c>
      <c r="F332" s="423">
        <v>551</v>
      </c>
    </row>
    <row r="333" spans="1:6">
      <c r="A333" s="439">
        <v>45804</v>
      </c>
      <c r="B333" s="423" t="s">
        <v>51</v>
      </c>
      <c r="C333" s="423" t="s">
        <v>447</v>
      </c>
      <c r="D333" s="394">
        <v>500</v>
      </c>
      <c r="E333" s="423" t="s">
        <v>395</v>
      </c>
      <c r="F333" s="423">
        <v>174</v>
      </c>
    </row>
    <row r="334" spans="1:6">
      <c r="A334" s="439">
        <v>45804</v>
      </c>
      <c r="B334" s="423" t="s">
        <v>38</v>
      </c>
      <c r="C334" s="423" t="s">
        <v>463</v>
      </c>
      <c r="D334" s="394">
        <v>58500</v>
      </c>
      <c r="E334" s="423" t="s">
        <v>248</v>
      </c>
      <c r="F334" s="423">
        <v>552</v>
      </c>
    </row>
    <row r="335" spans="1:6">
      <c r="A335" s="439">
        <v>45804</v>
      </c>
      <c r="B335" s="423" t="s">
        <v>51</v>
      </c>
      <c r="C335" s="423" t="s">
        <v>447</v>
      </c>
      <c r="D335" s="394">
        <v>128100</v>
      </c>
      <c r="E335" s="423" t="s">
        <v>125</v>
      </c>
      <c r="F335" s="423">
        <v>553</v>
      </c>
    </row>
    <row r="336" spans="1:6">
      <c r="A336" s="439">
        <v>45804</v>
      </c>
      <c r="B336" s="423" t="s">
        <v>51</v>
      </c>
      <c r="C336" s="423" t="s">
        <v>447</v>
      </c>
      <c r="D336" s="394">
        <v>1619</v>
      </c>
      <c r="E336" s="423" t="s">
        <v>226</v>
      </c>
      <c r="F336" s="423">
        <v>554</v>
      </c>
    </row>
    <row r="337" spans="1:10">
      <c r="A337" s="439">
        <v>45804</v>
      </c>
      <c r="B337" s="423" t="s">
        <v>51</v>
      </c>
      <c r="C337" s="423" t="s">
        <v>447</v>
      </c>
      <c r="D337" s="394">
        <v>300</v>
      </c>
      <c r="E337" s="423" t="s">
        <v>396</v>
      </c>
      <c r="F337" s="423">
        <v>554</v>
      </c>
    </row>
    <row r="338" spans="1:10">
      <c r="A338" s="439">
        <v>45805</v>
      </c>
      <c r="B338" s="423" t="s">
        <v>53</v>
      </c>
      <c r="C338" s="423" t="s">
        <v>403</v>
      </c>
      <c r="D338" s="394">
        <v>16000</v>
      </c>
      <c r="E338" s="423" t="s">
        <v>248</v>
      </c>
      <c r="F338" s="423">
        <v>555</v>
      </c>
    </row>
    <row r="339" spans="1:10">
      <c r="A339" s="439">
        <v>45807</v>
      </c>
      <c r="B339" s="423" t="s">
        <v>38</v>
      </c>
      <c r="C339" s="423" t="s">
        <v>463</v>
      </c>
      <c r="D339" s="394">
        <v>50000</v>
      </c>
      <c r="E339" s="423" t="s">
        <v>125</v>
      </c>
      <c r="F339" s="423">
        <v>556</v>
      </c>
    </row>
    <row r="340" spans="1:10">
      <c r="A340" s="439">
        <v>45811</v>
      </c>
      <c r="B340" s="423" t="s">
        <v>50</v>
      </c>
      <c r="C340" s="423" t="s">
        <v>411</v>
      </c>
      <c r="D340" s="394">
        <v>169307.31</v>
      </c>
      <c r="E340" s="423" t="s">
        <v>125</v>
      </c>
      <c r="F340" s="423" t="s">
        <v>421</v>
      </c>
    </row>
    <row r="341" spans="1:10">
      <c r="A341" s="439">
        <v>45812</v>
      </c>
      <c r="B341" s="423" t="s">
        <v>26</v>
      </c>
      <c r="C341" s="423" t="s">
        <v>25</v>
      </c>
      <c r="D341" s="394">
        <v>500</v>
      </c>
      <c r="E341" s="423" t="s">
        <v>395</v>
      </c>
      <c r="F341" s="423">
        <v>182</v>
      </c>
    </row>
    <row r="342" spans="1:10">
      <c r="A342" s="439">
        <v>45812</v>
      </c>
      <c r="B342" s="423" t="s">
        <v>35</v>
      </c>
      <c r="C342" s="423" t="s">
        <v>449</v>
      </c>
      <c r="D342" s="394">
        <v>62036.9</v>
      </c>
      <c r="E342" s="423" t="s">
        <v>125</v>
      </c>
      <c r="F342" s="423">
        <v>557</v>
      </c>
    </row>
    <row r="343" spans="1:10">
      <c r="A343" s="439">
        <v>45812</v>
      </c>
      <c r="B343" s="423" t="s">
        <v>37</v>
      </c>
      <c r="C343" s="423" t="s">
        <v>36</v>
      </c>
      <c r="D343" s="394">
        <v>14000</v>
      </c>
      <c r="E343" s="423" t="s">
        <v>248</v>
      </c>
      <c r="F343" s="423">
        <v>559</v>
      </c>
    </row>
    <row r="344" spans="1:10">
      <c r="A344" s="439">
        <v>45815</v>
      </c>
      <c r="B344" s="423" t="s">
        <v>35</v>
      </c>
      <c r="C344" s="423" t="s">
        <v>449</v>
      </c>
      <c r="D344" s="394">
        <v>342.7</v>
      </c>
      <c r="E344" s="423" t="s">
        <v>395</v>
      </c>
      <c r="F344" s="423">
        <v>191</v>
      </c>
    </row>
    <row r="345" spans="1:10">
      <c r="A345" s="439">
        <v>45815</v>
      </c>
      <c r="B345" s="423" t="s">
        <v>35</v>
      </c>
      <c r="C345" s="423" t="s">
        <v>449</v>
      </c>
      <c r="D345" s="394">
        <v>147263.1</v>
      </c>
      <c r="E345" s="423" t="s">
        <v>125</v>
      </c>
      <c r="F345" s="423">
        <v>560</v>
      </c>
    </row>
    <row r="346" spans="1:10">
      <c r="A346" s="439">
        <v>45815</v>
      </c>
      <c r="B346" s="423" t="s">
        <v>35</v>
      </c>
      <c r="C346" s="423" t="s">
        <v>449</v>
      </c>
      <c r="D346" s="394">
        <v>70.099999999999994</v>
      </c>
      <c r="E346" s="423" t="s">
        <v>248</v>
      </c>
      <c r="F346" s="423">
        <v>560</v>
      </c>
    </row>
    <row r="347" spans="1:10">
      <c r="A347" s="439">
        <v>45815</v>
      </c>
      <c r="B347" s="423" t="s">
        <v>35</v>
      </c>
      <c r="C347" s="423" t="s">
        <v>449</v>
      </c>
      <c r="D347" s="394">
        <v>1967</v>
      </c>
      <c r="E347" s="423" t="s">
        <v>226</v>
      </c>
      <c r="F347" s="423">
        <v>561</v>
      </c>
    </row>
    <row r="348" spans="1:10">
      <c r="A348" s="439">
        <v>45815</v>
      </c>
      <c r="B348" s="423" t="s">
        <v>35</v>
      </c>
      <c r="C348" s="423" t="s">
        <v>449</v>
      </c>
      <c r="D348" s="394">
        <v>300</v>
      </c>
      <c r="E348" s="423" t="s">
        <v>396</v>
      </c>
      <c r="F348" s="423">
        <v>561</v>
      </c>
    </row>
    <row r="349" spans="1:10">
      <c r="A349" s="439">
        <v>45815</v>
      </c>
      <c r="B349" s="423" t="s">
        <v>55</v>
      </c>
      <c r="C349" s="423" t="s">
        <v>331</v>
      </c>
      <c r="D349" s="394">
        <v>2000</v>
      </c>
      <c r="E349" s="423" t="s">
        <v>248</v>
      </c>
      <c r="F349" s="423">
        <v>562</v>
      </c>
    </row>
    <row r="350" spans="1:10">
      <c r="A350" s="439">
        <v>45826</v>
      </c>
      <c r="B350" s="423" t="s">
        <v>78</v>
      </c>
      <c r="C350" s="423" t="s">
        <v>360</v>
      </c>
      <c r="D350" s="394">
        <v>500</v>
      </c>
      <c r="E350" s="423" t="s">
        <v>395</v>
      </c>
      <c r="F350" s="423">
        <v>202</v>
      </c>
      <c r="J350" s="440"/>
    </row>
    <row r="351" spans="1:10">
      <c r="A351" s="439">
        <v>45826</v>
      </c>
      <c r="B351" s="423" t="s">
        <v>78</v>
      </c>
      <c r="C351" s="423" t="s">
        <v>360</v>
      </c>
      <c r="D351" s="394">
        <v>300</v>
      </c>
      <c r="E351" s="423" t="s">
        <v>396</v>
      </c>
      <c r="F351" s="423">
        <v>563</v>
      </c>
      <c r="I351" s="453"/>
    </row>
    <row r="352" spans="1:10">
      <c r="A352" s="439">
        <v>45827</v>
      </c>
      <c r="B352" s="423" t="s">
        <v>80</v>
      </c>
      <c r="C352" s="423" t="s">
        <v>471</v>
      </c>
      <c r="D352" s="394">
        <v>3000</v>
      </c>
      <c r="E352" s="423" t="s">
        <v>248</v>
      </c>
      <c r="F352" s="423">
        <v>564</v>
      </c>
    </row>
    <row r="353" spans="1:12">
      <c r="A353" s="439">
        <v>45827</v>
      </c>
      <c r="B353" s="423" t="s">
        <v>26</v>
      </c>
      <c r="C353" s="423" t="s">
        <v>25</v>
      </c>
      <c r="D353" s="394">
        <v>2566.87</v>
      </c>
      <c r="E353" s="423" t="s">
        <v>248</v>
      </c>
      <c r="F353" s="423">
        <v>565</v>
      </c>
      <c r="J353" s="454"/>
    </row>
    <row r="354" spans="1:12">
      <c r="A354" s="439">
        <v>45833</v>
      </c>
      <c r="B354" s="423" t="s">
        <v>7</v>
      </c>
      <c r="C354" s="423" t="s">
        <v>5</v>
      </c>
      <c r="D354" s="394">
        <v>500</v>
      </c>
      <c r="E354" s="423" t="s">
        <v>395</v>
      </c>
      <c r="F354" s="423">
        <v>206</v>
      </c>
      <c r="J354" s="451"/>
      <c r="L354" s="440"/>
    </row>
    <row r="355" spans="1:12">
      <c r="A355" s="439">
        <v>45833</v>
      </c>
      <c r="B355" s="423" t="s">
        <v>7</v>
      </c>
      <c r="C355" s="423" t="s">
        <v>5</v>
      </c>
      <c r="D355" s="394">
        <v>300</v>
      </c>
      <c r="E355" s="423" t="s">
        <v>396</v>
      </c>
      <c r="F355" s="423">
        <v>566</v>
      </c>
      <c r="J355" s="455"/>
      <c r="L355" s="440"/>
    </row>
    <row r="356" spans="1:12">
      <c r="A356" s="456">
        <v>45842</v>
      </c>
      <c r="B356" s="423" t="s">
        <v>86</v>
      </c>
      <c r="C356" s="423" t="s">
        <v>399</v>
      </c>
      <c r="D356" s="394">
        <v>57.1</v>
      </c>
      <c r="E356" s="423" t="s">
        <v>248</v>
      </c>
      <c r="F356" s="423">
        <v>567</v>
      </c>
      <c r="J356" s="451"/>
    </row>
    <row r="357" spans="1:12">
      <c r="A357" s="456">
        <v>45842</v>
      </c>
      <c r="B357" s="423" t="s">
        <v>86</v>
      </c>
      <c r="C357" s="423" t="s">
        <v>399</v>
      </c>
      <c r="D357" s="394">
        <v>300</v>
      </c>
      <c r="E357" s="423" t="s">
        <v>396</v>
      </c>
      <c r="F357" s="423">
        <v>567</v>
      </c>
    </row>
    <row r="358" spans="1:12">
      <c r="A358" s="439">
        <v>45852</v>
      </c>
      <c r="B358" s="423" t="s">
        <v>81</v>
      </c>
      <c r="C358" s="423" t="s">
        <v>414</v>
      </c>
      <c r="D358" s="394">
        <v>167300</v>
      </c>
      <c r="E358" s="423" t="s">
        <v>125</v>
      </c>
      <c r="F358" s="423" t="s">
        <v>421</v>
      </c>
      <c r="J358" s="451"/>
      <c r="L358" s="440"/>
    </row>
    <row r="359" spans="1:12">
      <c r="A359" s="456">
        <v>45853</v>
      </c>
      <c r="B359" s="423" t="s">
        <v>50</v>
      </c>
      <c r="C359" s="423" t="s">
        <v>411</v>
      </c>
      <c r="D359" s="394">
        <v>500</v>
      </c>
      <c r="E359" s="423" t="s">
        <v>395</v>
      </c>
      <c r="F359" s="423">
        <v>233</v>
      </c>
      <c r="J359" s="451"/>
    </row>
    <row r="360" spans="1:12">
      <c r="A360" s="456">
        <v>45853</v>
      </c>
      <c r="B360" s="423" t="s">
        <v>50</v>
      </c>
      <c r="C360" s="423" t="s">
        <v>411</v>
      </c>
      <c r="D360" s="451">
        <v>5000</v>
      </c>
      <c r="E360" s="423" t="s">
        <v>248</v>
      </c>
      <c r="F360" s="423">
        <v>568</v>
      </c>
      <c r="H360" s="450"/>
      <c r="J360" s="451"/>
    </row>
    <row r="361" spans="1:12">
      <c r="A361" s="456">
        <v>45853</v>
      </c>
      <c r="B361" s="423" t="s">
        <v>50</v>
      </c>
      <c r="C361" s="423" t="s">
        <v>411</v>
      </c>
      <c r="D361" s="394">
        <v>300</v>
      </c>
      <c r="E361" s="423" t="s">
        <v>396</v>
      </c>
      <c r="F361" s="423">
        <v>569</v>
      </c>
      <c r="J361" s="451"/>
    </row>
    <row r="362" spans="1:12">
      <c r="A362" s="439">
        <v>45854</v>
      </c>
      <c r="B362" s="423" t="s">
        <v>29</v>
      </c>
      <c r="C362" s="423" t="s">
        <v>33</v>
      </c>
      <c r="D362" s="394">
        <v>128140.95</v>
      </c>
      <c r="E362" s="423" t="s">
        <v>125</v>
      </c>
      <c r="F362" s="423" t="s">
        <v>421</v>
      </c>
      <c r="J362" s="451"/>
    </row>
    <row r="363" spans="1:12">
      <c r="A363" s="439">
        <v>45854</v>
      </c>
      <c r="B363" s="423" t="s">
        <v>29</v>
      </c>
      <c r="C363" s="423" t="s">
        <v>33</v>
      </c>
      <c r="D363" s="394">
        <v>21243.360000000001</v>
      </c>
      <c r="E363" s="442" t="s">
        <v>248</v>
      </c>
      <c r="F363" s="442" t="s">
        <v>474</v>
      </c>
      <c r="J363" s="451"/>
    </row>
    <row r="364" spans="1:12">
      <c r="A364" s="439">
        <v>45856</v>
      </c>
      <c r="B364" s="423" t="s">
        <v>53</v>
      </c>
      <c r="C364" s="423" t="s">
        <v>403</v>
      </c>
      <c r="D364" s="394">
        <v>500</v>
      </c>
      <c r="E364" s="423" t="s">
        <v>395</v>
      </c>
      <c r="F364" s="423">
        <v>235</v>
      </c>
      <c r="J364" s="451"/>
    </row>
    <row r="365" spans="1:12">
      <c r="A365" s="439">
        <v>45856</v>
      </c>
      <c r="B365" s="423" t="s">
        <v>53</v>
      </c>
      <c r="C365" s="423" t="s">
        <v>403</v>
      </c>
      <c r="D365" s="451">
        <v>10000</v>
      </c>
      <c r="E365" s="442" t="s">
        <v>248</v>
      </c>
      <c r="F365" s="423">
        <v>571</v>
      </c>
    </row>
    <row r="366" spans="1:12">
      <c r="A366" s="439">
        <v>45856</v>
      </c>
      <c r="B366" s="423" t="s">
        <v>53</v>
      </c>
      <c r="C366" s="423" t="s">
        <v>403</v>
      </c>
      <c r="D366" s="394">
        <v>300</v>
      </c>
      <c r="E366" s="423" t="s">
        <v>396</v>
      </c>
      <c r="F366" s="423">
        <v>572</v>
      </c>
    </row>
    <row r="367" spans="1:12">
      <c r="A367" s="439">
        <v>45866</v>
      </c>
      <c r="B367" s="423" t="s">
        <v>49</v>
      </c>
      <c r="C367" s="423" t="s">
        <v>48</v>
      </c>
      <c r="D367" s="394">
        <v>2000</v>
      </c>
      <c r="E367" s="423" t="s">
        <v>248</v>
      </c>
      <c r="F367" s="423">
        <v>573</v>
      </c>
    </row>
    <row r="368" spans="1:12">
      <c r="A368" s="439">
        <v>45867</v>
      </c>
      <c r="B368" s="423" t="s">
        <v>77</v>
      </c>
      <c r="C368" s="423" t="s">
        <v>75</v>
      </c>
      <c r="D368" s="394">
        <v>200</v>
      </c>
      <c r="E368" s="423" t="s">
        <v>452</v>
      </c>
      <c r="F368" s="423">
        <v>574</v>
      </c>
    </row>
    <row r="369" spans="1:6">
      <c r="A369" s="439">
        <v>45869</v>
      </c>
      <c r="B369" s="423" t="s">
        <v>38</v>
      </c>
      <c r="C369" s="423" t="s">
        <v>463</v>
      </c>
      <c r="D369" s="394">
        <v>25000</v>
      </c>
      <c r="E369" s="423" t="s">
        <v>248</v>
      </c>
      <c r="F369" s="423">
        <v>575</v>
      </c>
    </row>
    <row r="370" spans="1:6">
      <c r="A370" s="439">
        <v>45870</v>
      </c>
      <c r="B370" s="423" t="s">
        <v>38</v>
      </c>
      <c r="C370" s="423" t="s">
        <v>463</v>
      </c>
      <c r="D370" s="394">
        <v>30000</v>
      </c>
      <c r="E370" s="423" t="s">
        <v>248</v>
      </c>
      <c r="F370" s="423">
        <v>576</v>
      </c>
    </row>
    <row r="371" spans="1:6">
      <c r="A371" s="439">
        <v>45870</v>
      </c>
      <c r="B371" s="423" t="s">
        <v>13</v>
      </c>
      <c r="C371" s="423" t="s">
        <v>12</v>
      </c>
      <c r="D371" s="394">
        <v>69614.2</v>
      </c>
      <c r="E371" s="423" t="s">
        <v>248</v>
      </c>
      <c r="F371" s="423">
        <v>577</v>
      </c>
    </row>
    <row r="372" spans="1:6">
      <c r="A372" s="439">
        <v>45870</v>
      </c>
      <c r="B372" s="423" t="s">
        <v>13</v>
      </c>
      <c r="C372" s="423" t="s">
        <v>12</v>
      </c>
      <c r="D372" s="394">
        <v>2627.6</v>
      </c>
      <c r="E372" s="423" t="s">
        <v>226</v>
      </c>
      <c r="F372" s="423">
        <v>578</v>
      </c>
    </row>
    <row r="373" spans="1:6">
      <c r="A373" s="439">
        <v>45873</v>
      </c>
      <c r="B373" s="423" t="s">
        <v>80</v>
      </c>
      <c r="C373" s="423" t="s">
        <v>473</v>
      </c>
      <c r="D373" s="394">
        <v>3000</v>
      </c>
      <c r="E373" s="423" t="s">
        <v>248</v>
      </c>
      <c r="F373" s="423">
        <v>579</v>
      </c>
    </row>
    <row r="374" spans="1:6">
      <c r="A374" s="439">
        <v>45875</v>
      </c>
      <c r="B374" s="423" t="s">
        <v>50</v>
      </c>
      <c r="C374" s="423" t="s">
        <v>411</v>
      </c>
      <c r="D374" s="451">
        <v>400</v>
      </c>
      <c r="E374" s="423" t="s">
        <v>248</v>
      </c>
      <c r="F374" s="423">
        <v>580</v>
      </c>
    </row>
    <row r="375" spans="1:6">
      <c r="A375" s="439">
        <v>45877</v>
      </c>
      <c r="B375" s="423" t="s">
        <v>52</v>
      </c>
      <c r="C375" s="423" t="s">
        <v>445</v>
      </c>
      <c r="D375" s="394">
        <v>500</v>
      </c>
      <c r="E375" s="423" t="s">
        <v>395</v>
      </c>
      <c r="F375" s="423">
        <v>261</v>
      </c>
    </row>
    <row r="376" spans="1:6">
      <c r="A376" s="439">
        <v>45877</v>
      </c>
      <c r="B376" s="423" t="s">
        <v>52</v>
      </c>
      <c r="C376" s="423" t="s">
        <v>445</v>
      </c>
      <c r="D376" s="394">
        <v>300</v>
      </c>
      <c r="E376" s="423" t="s">
        <v>396</v>
      </c>
      <c r="F376" s="423">
        <v>581</v>
      </c>
    </row>
    <row r="377" spans="1:6">
      <c r="A377" s="439">
        <v>45881</v>
      </c>
      <c r="B377" s="423" t="s">
        <v>37</v>
      </c>
      <c r="C377" s="423" t="s">
        <v>36</v>
      </c>
      <c r="D377" s="394">
        <v>17000</v>
      </c>
      <c r="E377" s="423" t="s">
        <v>248</v>
      </c>
      <c r="F377" s="423">
        <v>582</v>
      </c>
    </row>
    <row r="378" spans="1:6">
      <c r="A378" s="439">
        <v>45882</v>
      </c>
      <c r="B378" s="423" t="s">
        <v>38</v>
      </c>
      <c r="C378" s="423" t="s">
        <v>463</v>
      </c>
      <c r="D378" s="394">
        <v>500</v>
      </c>
      <c r="E378" s="423" t="s">
        <v>395</v>
      </c>
      <c r="F378" s="423">
        <v>265</v>
      </c>
    </row>
    <row r="379" spans="1:6">
      <c r="A379" s="439">
        <v>45882</v>
      </c>
      <c r="B379" s="423" t="s">
        <v>80</v>
      </c>
      <c r="C379" s="423" t="s">
        <v>473</v>
      </c>
      <c r="D379" s="394">
        <v>72800</v>
      </c>
      <c r="E379" s="423" t="s">
        <v>248</v>
      </c>
      <c r="F379" s="423">
        <v>583</v>
      </c>
    </row>
    <row r="380" spans="1:6">
      <c r="A380" s="439">
        <v>45882</v>
      </c>
      <c r="B380" s="423" t="s">
        <v>38</v>
      </c>
      <c r="C380" s="423" t="s">
        <v>463</v>
      </c>
      <c r="D380" s="394">
        <v>38500</v>
      </c>
      <c r="E380" s="423" t="s">
        <v>248</v>
      </c>
      <c r="F380" s="423">
        <v>584</v>
      </c>
    </row>
    <row r="381" spans="1:6">
      <c r="A381" s="439">
        <v>45882</v>
      </c>
      <c r="B381" s="423" t="s">
        <v>38</v>
      </c>
      <c r="C381" s="423" t="s">
        <v>463</v>
      </c>
      <c r="D381" s="394">
        <v>1900</v>
      </c>
      <c r="E381" s="423" t="s">
        <v>226</v>
      </c>
      <c r="F381" s="423">
        <v>585</v>
      </c>
    </row>
    <row r="382" spans="1:6">
      <c r="A382" s="439">
        <v>45882</v>
      </c>
      <c r="B382" s="423" t="s">
        <v>38</v>
      </c>
      <c r="C382" s="423" t="s">
        <v>463</v>
      </c>
      <c r="D382" s="394">
        <v>300</v>
      </c>
      <c r="E382" s="423" t="s">
        <v>396</v>
      </c>
      <c r="F382" s="423">
        <v>585</v>
      </c>
    </row>
    <row r="383" spans="1:6">
      <c r="A383" s="439">
        <v>45884</v>
      </c>
      <c r="B383" s="423" t="s">
        <v>49</v>
      </c>
      <c r="C383" s="423" t="s">
        <v>48</v>
      </c>
      <c r="D383" s="394">
        <v>1000</v>
      </c>
      <c r="E383" s="423" t="s">
        <v>248</v>
      </c>
      <c r="F383" s="423">
        <v>586</v>
      </c>
    </row>
    <row r="384" spans="1:6">
      <c r="A384" s="439">
        <v>45888</v>
      </c>
      <c r="B384" s="423" t="s">
        <v>28</v>
      </c>
      <c r="C384" s="423" t="s">
        <v>416</v>
      </c>
      <c r="D384" s="394">
        <v>9000</v>
      </c>
      <c r="E384" s="423" t="s">
        <v>248</v>
      </c>
      <c r="F384" s="423">
        <v>587</v>
      </c>
    </row>
    <row r="385" spans="1:6">
      <c r="A385" s="439">
        <v>45888</v>
      </c>
      <c r="B385" s="423" t="s">
        <v>8</v>
      </c>
      <c r="C385" s="423" t="s">
        <v>354</v>
      </c>
      <c r="D385" s="451">
        <v>83804.86</v>
      </c>
      <c r="E385" s="423" t="s">
        <v>248</v>
      </c>
      <c r="F385" s="423">
        <v>588</v>
      </c>
    </row>
    <row r="386" spans="1:6">
      <c r="A386" s="456">
        <v>45905</v>
      </c>
      <c r="B386" s="423" t="s">
        <v>50</v>
      </c>
      <c r="C386" s="423" t="s">
        <v>411</v>
      </c>
      <c r="D386" s="451">
        <v>400</v>
      </c>
      <c r="E386" s="423" t="s">
        <v>248</v>
      </c>
      <c r="F386" s="423">
        <v>589</v>
      </c>
    </row>
    <row r="387" spans="1:6">
      <c r="A387" s="439">
        <v>45916</v>
      </c>
      <c r="B387" s="423" t="s">
        <v>28</v>
      </c>
      <c r="C387" s="423" t="s">
        <v>416</v>
      </c>
      <c r="D387" s="394">
        <v>6000</v>
      </c>
      <c r="E387" s="423" t="s">
        <v>248</v>
      </c>
      <c r="F387" s="423">
        <v>590</v>
      </c>
    </row>
    <row r="388" spans="1:6">
      <c r="A388" s="439">
        <v>45916</v>
      </c>
      <c r="B388" s="423" t="s">
        <v>28</v>
      </c>
      <c r="C388" s="423" t="s">
        <v>416</v>
      </c>
      <c r="D388" s="394">
        <v>2000</v>
      </c>
      <c r="E388" s="423" t="s">
        <v>248</v>
      </c>
      <c r="F388" s="423">
        <v>591</v>
      </c>
    </row>
    <row r="389" spans="1:6">
      <c r="A389" s="447">
        <v>45916</v>
      </c>
      <c r="B389" s="448" t="s">
        <v>28</v>
      </c>
      <c r="C389" s="448" t="s">
        <v>416</v>
      </c>
      <c r="D389" s="449">
        <v>1500</v>
      </c>
      <c r="E389" s="448" t="s">
        <v>248</v>
      </c>
      <c r="F389" s="423">
        <v>592</v>
      </c>
    </row>
    <row r="390" spans="1:6">
      <c r="A390" s="439">
        <v>45926</v>
      </c>
      <c r="B390" s="423" t="s">
        <v>80</v>
      </c>
      <c r="C390" s="423" t="s">
        <v>473</v>
      </c>
      <c r="D390" s="394">
        <v>500</v>
      </c>
      <c r="E390" s="423" t="s">
        <v>395</v>
      </c>
      <c r="F390" s="423">
        <v>335</v>
      </c>
    </row>
    <row r="391" spans="1:6">
      <c r="A391" s="439">
        <v>45926</v>
      </c>
      <c r="B391" s="423" t="s">
        <v>80</v>
      </c>
      <c r="C391" s="423" t="s">
        <v>473</v>
      </c>
      <c r="D391" s="394">
        <v>106200</v>
      </c>
      <c r="E391" s="423" t="s">
        <v>248</v>
      </c>
      <c r="F391" s="423">
        <v>593</v>
      </c>
    </row>
    <row r="392" spans="1:6">
      <c r="A392" s="439">
        <v>45926</v>
      </c>
      <c r="B392" s="423" t="s">
        <v>80</v>
      </c>
      <c r="C392" s="423" t="s">
        <v>473</v>
      </c>
      <c r="D392" s="394">
        <v>300</v>
      </c>
      <c r="E392" s="423" t="s">
        <v>396</v>
      </c>
      <c r="F392" s="442">
        <v>594</v>
      </c>
    </row>
    <row r="393" spans="1:6">
      <c r="A393" s="439">
        <v>45939</v>
      </c>
      <c r="B393" s="423" t="s">
        <v>49</v>
      </c>
      <c r="C393" s="423" t="s">
        <v>48</v>
      </c>
      <c r="D393" s="394">
        <v>49942.9</v>
      </c>
      <c r="E393" s="423" t="s">
        <v>248</v>
      </c>
      <c r="F393" s="423">
        <v>596</v>
      </c>
    </row>
    <row r="394" spans="1:6">
      <c r="A394" s="439">
        <v>45940</v>
      </c>
      <c r="B394" s="423" t="s">
        <v>4</v>
      </c>
      <c r="C394" s="423" t="s">
        <v>400</v>
      </c>
      <c r="D394" s="394">
        <v>72.099999999999994</v>
      </c>
      <c r="E394" s="423" t="s">
        <v>248</v>
      </c>
      <c r="F394" s="423">
        <v>597</v>
      </c>
    </row>
    <row r="395" spans="1:6">
      <c r="A395" s="439">
        <v>45950</v>
      </c>
      <c r="B395" s="423" t="s">
        <v>49</v>
      </c>
      <c r="C395" s="423" t="s">
        <v>48</v>
      </c>
      <c r="D395" s="394">
        <v>1593</v>
      </c>
      <c r="E395" s="423" t="s">
        <v>226</v>
      </c>
      <c r="F395" s="423">
        <v>601</v>
      </c>
    </row>
    <row r="396" spans="1:6">
      <c r="A396" s="439">
        <v>45950</v>
      </c>
      <c r="B396" s="423" t="s">
        <v>49</v>
      </c>
      <c r="C396" s="423" t="s">
        <v>48</v>
      </c>
      <c r="D396" s="394">
        <v>41557.1</v>
      </c>
      <c r="E396" s="423" t="s">
        <v>248</v>
      </c>
      <c r="F396" s="423">
        <v>603</v>
      </c>
    </row>
    <row r="397" spans="1:6">
      <c r="A397" s="439">
        <v>45951</v>
      </c>
      <c r="B397" s="423" t="s">
        <v>88</v>
      </c>
      <c r="C397" s="442" t="s">
        <v>457</v>
      </c>
      <c r="D397" s="394">
        <v>500</v>
      </c>
      <c r="E397" s="423" t="s">
        <v>395</v>
      </c>
      <c r="F397" s="423">
        <v>372</v>
      </c>
    </row>
    <row r="398" spans="1:6">
      <c r="A398" s="439">
        <v>45951</v>
      </c>
      <c r="B398" s="423" t="s">
        <v>88</v>
      </c>
      <c r="C398" s="442" t="s">
        <v>457</v>
      </c>
      <c r="D398" s="452">
        <v>129867.59</v>
      </c>
      <c r="E398" s="423" t="s">
        <v>248</v>
      </c>
      <c r="F398" s="423">
        <v>604</v>
      </c>
    </row>
    <row r="399" spans="1:6">
      <c r="A399" s="439">
        <v>45951</v>
      </c>
      <c r="B399" s="423" t="s">
        <v>88</v>
      </c>
      <c r="C399" s="442" t="s">
        <v>457</v>
      </c>
      <c r="D399" s="394">
        <v>300</v>
      </c>
      <c r="E399" s="423" t="s">
        <v>396</v>
      </c>
      <c r="F399" s="442">
        <v>605</v>
      </c>
    </row>
    <row r="400" spans="1:6">
      <c r="A400" s="439">
        <v>45951</v>
      </c>
      <c r="B400" s="423" t="s">
        <v>88</v>
      </c>
      <c r="C400" s="442" t="s">
        <v>457</v>
      </c>
      <c r="D400" s="394">
        <v>1766.9</v>
      </c>
      <c r="E400" s="423" t="s">
        <v>226</v>
      </c>
      <c r="F400" s="423">
        <v>606</v>
      </c>
    </row>
    <row r="401" spans="1:6">
      <c r="A401" s="456">
        <v>45951</v>
      </c>
      <c r="B401" s="423" t="s">
        <v>38</v>
      </c>
      <c r="C401" s="423" t="s">
        <v>294</v>
      </c>
      <c r="D401" s="394">
        <v>-22050</v>
      </c>
      <c r="E401" s="423" t="s">
        <v>248</v>
      </c>
      <c r="F401" s="442" t="s">
        <v>132</v>
      </c>
    </row>
    <row r="402" spans="1:6">
      <c r="A402" s="439">
        <v>45952</v>
      </c>
      <c r="B402" s="423" t="s">
        <v>80</v>
      </c>
      <c r="C402" s="423" t="s">
        <v>473</v>
      </c>
      <c r="D402" s="394">
        <v>1704</v>
      </c>
      <c r="E402" s="423" t="s">
        <v>226</v>
      </c>
      <c r="F402" s="442">
        <v>607</v>
      </c>
    </row>
    <row r="403" spans="1:6">
      <c r="A403" s="439">
        <v>45955</v>
      </c>
      <c r="B403" s="423" t="s">
        <v>8</v>
      </c>
      <c r="C403" s="423" t="s">
        <v>354</v>
      </c>
      <c r="D403" s="394">
        <v>500</v>
      </c>
      <c r="E403" s="423" t="s">
        <v>395</v>
      </c>
      <c r="F403" s="423">
        <v>373</v>
      </c>
    </row>
    <row r="404" spans="1:6">
      <c r="A404" s="439">
        <v>45955</v>
      </c>
      <c r="B404" s="423" t="s">
        <v>8</v>
      </c>
      <c r="C404" s="423" t="s">
        <v>354</v>
      </c>
      <c r="D404" s="394">
        <v>59416.74</v>
      </c>
      <c r="E404" s="423" t="s">
        <v>248</v>
      </c>
      <c r="F404" s="423">
        <v>608</v>
      </c>
    </row>
    <row r="405" spans="1:6">
      <c r="A405" s="439">
        <v>45955</v>
      </c>
      <c r="B405" s="423" t="s">
        <v>8</v>
      </c>
      <c r="C405" s="423" t="s">
        <v>354</v>
      </c>
      <c r="D405" s="394">
        <v>2070</v>
      </c>
      <c r="E405" s="423" t="s">
        <v>226</v>
      </c>
      <c r="F405" s="423">
        <v>609</v>
      </c>
    </row>
    <row r="406" spans="1:6">
      <c r="A406" s="439">
        <v>45955</v>
      </c>
      <c r="B406" s="423" t="s">
        <v>8</v>
      </c>
      <c r="C406" s="423" t="s">
        <v>354</v>
      </c>
      <c r="D406" s="394">
        <v>300</v>
      </c>
      <c r="E406" s="423" t="s">
        <v>396</v>
      </c>
      <c r="F406" s="423">
        <v>609</v>
      </c>
    </row>
    <row r="407" spans="1:6">
      <c r="A407" s="439">
        <v>45974</v>
      </c>
      <c r="B407" s="423" t="s">
        <v>67</v>
      </c>
      <c r="C407" s="423" t="s">
        <v>479</v>
      </c>
      <c r="D407" s="394">
        <v>3000</v>
      </c>
      <c r="E407" s="423" t="s">
        <v>248</v>
      </c>
      <c r="F407" s="423">
        <v>610</v>
      </c>
    </row>
    <row r="408" spans="1:6">
      <c r="A408" s="439">
        <v>45975</v>
      </c>
      <c r="B408" s="423" t="s">
        <v>59</v>
      </c>
      <c r="C408" s="423" t="s">
        <v>367</v>
      </c>
      <c r="D408" s="394">
        <v>6000</v>
      </c>
      <c r="E408" s="423" t="s">
        <v>248</v>
      </c>
      <c r="F408" s="423">
        <v>611</v>
      </c>
    </row>
    <row r="409" spans="1:6">
      <c r="A409" s="439">
        <v>45978</v>
      </c>
      <c r="B409" s="423" t="s">
        <v>77</v>
      </c>
      <c r="C409" s="423" t="s">
        <v>75</v>
      </c>
      <c r="D409" s="394">
        <v>200</v>
      </c>
      <c r="E409" s="423" t="s">
        <v>452</v>
      </c>
      <c r="F409" s="423">
        <v>574</v>
      </c>
    </row>
    <row r="410" spans="1:6">
      <c r="A410" s="439">
        <v>45982</v>
      </c>
      <c r="B410" s="423" t="s">
        <v>72</v>
      </c>
      <c r="C410" s="423" t="s">
        <v>506</v>
      </c>
      <c r="D410" s="394">
        <v>5000</v>
      </c>
      <c r="E410" s="423" t="s">
        <v>248</v>
      </c>
      <c r="F410" s="423">
        <v>614</v>
      </c>
    </row>
    <row r="411" spans="1:6">
      <c r="A411" s="439">
        <v>45982</v>
      </c>
      <c r="B411" s="423" t="s">
        <v>37</v>
      </c>
      <c r="C411" s="423" t="s">
        <v>36</v>
      </c>
      <c r="D411" s="394">
        <v>2078</v>
      </c>
      <c r="E411" s="423" t="s">
        <v>226</v>
      </c>
      <c r="F411" s="423">
        <v>615</v>
      </c>
    </row>
    <row r="412" spans="1:6">
      <c r="A412" s="439">
        <v>45982</v>
      </c>
      <c r="B412" s="423" t="s">
        <v>73</v>
      </c>
      <c r="C412" s="423" t="s">
        <v>36</v>
      </c>
      <c r="D412" s="394">
        <v>1726</v>
      </c>
      <c r="E412" s="423" t="s">
        <v>226</v>
      </c>
      <c r="F412" s="423">
        <v>616</v>
      </c>
    </row>
    <row r="413" spans="1:6">
      <c r="A413" s="439">
        <v>45988</v>
      </c>
      <c r="B413" s="423" t="s">
        <v>50</v>
      </c>
      <c r="C413" s="423" t="s">
        <v>411</v>
      </c>
      <c r="D413" s="394">
        <v>4500</v>
      </c>
      <c r="E413" s="423" t="s">
        <v>248</v>
      </c>
      <c r="F413" s="423">
        <v>617</v>
      </c>
    </row>
    <row r="414" spans="1:6">
      <c r="A414" s="439">
        <v>45994</v>
      </c>
      <c r="B414" s="423" t="s">
        <v>70</v>
      </c>
      <c r="C414" s="423" t="s">
        <v>484</v>
      </c>
      <c r="D414" s="394">
        <v>3000</v>
      </c>
      <c r="E414" s="423" t="s">
        <v>248</v>
      </c>
      <c r="F414" s="423">
        <v>618</v>
      </c>
    </row>
    <row r="415" spans="1:6">
      <c r="A415" s="439">
        <v>46001</v>
      </c>
      <c r="B415" s="448" t="s">
        <v>28</v>
      </c>
      <c r="C415" s="448" t="s">
        <v>416</v>
      </c>
      <c r="D415" s="449">
        <v>729.94</v>
      </c>
      <c r="E415" s="448" t="s">
        <v>248</v>
      </c>
      <c r="F415" s="423">
        <v>619</v>
      </c>
    </row>
    <row r="416" spans="1:6">
      <c r="A416" s="439">
        <v>46001</v>
      </c>
      <c r="B416" s="448" t="s">
        <v>28</v>
      </c>
      <c r="C416" s="448" t="s">
        <v>416</v>
      </c>
      <c r="D416" s="449">
        <v>770.08</v>
      </c>
      <c r="E416" s="448" t="s">
        <v>248</v>
      </c>
      <c r="F416" s="423">
        <v>620</v>
      </c>
    </row>
    <row r="417" spans="1:6">
      <c r="A417" s="439">
        <v>46003</v>
      </c>
      <c r="B417" s="423" t="s">
        <v>81</v>
      </c>
      <c r="C417" s="423" t="s">
        <v>414</v>
      </c>
      <c r="D417" s="394">
        <v>500</v>
      </c>
      <c r="E417" s="423" t="s">
        <v>395</v>
      </c>
      <c r="F417" s="423">
        <v>492</v>
      </c>
    </row>
    <row r="418" spans="1:6">
      <c r="A418" s="439">
        <v>46003</v>
      </c>
      <c r="B418" s="423" t="s">
        <v>24</v>
      </c>
      <c r="C418" s="423" t="s">
        <v>387</v>
      </c>
      <c r="D418" s="394">
        <v>300</v>
      </c>
      <c r="E418" s="423" t="s">
        <v>396</v>
      </c>
      <c r="F418" s="423">
        <v>621</v>
      </c>
    </row>
    <row r="419" spans="1:6">
      <c r="A419" s="439">
        <v>46003</v>
      </c>
      <c r="B419" s="423" t="s">
        <v>81</v>
      </c>
      <c r="C419" s="423" t="s">
        <v>414</v>
      </c>
      <c r="D419" s="394">
        <v>300</v>
      </c>
      <c r="E419" s="423" t="s">
        <v>396</v>
      </c>
      <c r="F419" s="423">
        <v>622</v>
      </c>
    </row>
    <row r="420" spans="1:6">
      <c r="A420" s="439">
        <v>46022</v>
      </c>
      <c r="B420" s="423" t="s">
        <v>67</v>
      </c>
      <c r="C420" s="423" t="s">
        <v>479</v>
      </c>
      <c r="D420" s="394">
        <v>176900</v>
      </c>
      <c r="E420" s="423" t="s">
        <v>248</v>
      </c>
      <c r="F420" s="423">
        <v>623</v>
      </c>
    </row>
    <row r="421" spans="1:6">
      <c r="A421" s="439">
        <v>46022</v>
      </c>
      <c r="B421" s="423" t="s">
        <v>67</v>
      </c>
      <c r="C421" s="423" t="s">
        <v>479</v>
      </c>
      <c r="D421" s="394">
        <v>1750</v>
      </c>
      <c r="E421" s="423" t="s">
        <v>226</v>
      </c>
      <c r="F421" s="423">
        <v>624</v>
      </c>
    </row>
    <row r="422" spans="1:6">
      <c r="A422" s="439">
        <v>46022</v>
      </c>
      <c r="B422" s="423" t="s">
        <v>52</v>
      </c>
      <c r="C422" s="423" t="s">
        <v>445</v>
      </c>
      <c r="D422" s="394">
        <v>90000</v>
      </c>
      <c r="E422" s="442" t="s">
        <v>248</v>
      </c>
      <c r="F422" s="442">
        <v>625</v>
      </c>
    </row>
    <row r="423" spans="1:6">
      <c r="A423" s="439">
        <v>46034</v>
      </c>
      <c r="B423" s="423" t="s">
        <v>77</v>
      </c>
      <c r="C423" s="423" t="s">
        <v>75</v>
      </c>
      <c r="D423" s="394">
        <v>200</v>
      </c>
      <c r="E423" s="423" t="s">
        <v>452</v>
      </c>
      <c r="F423" s="423">
        <v>626</v>
      </c>
    </row>
    <row r="424" spans="1:6">
      <c r="A424" s="439">
        <v>46044</v>
      </c>
      <c r="B424" s="423" t="s">
        <v>72</v>
      </c>
      <c r="C424" s="423" t="s">
        <v>506</v>
      </c>
      <c r="D424" s="394">
        <v>19465</v>
      </c>
      <c r="E424" s="423" t="s">
        <v>248</v>
      </c>
      <c r="F424" s="423">
        <v>627</v>
      </c>
    </row>
    <row r="425" spans="1:6">
      <c r="A425" s="439">
        <v>46048</v>
      </c>
      <c r="B425" s="423" t="s">
        <v>50</v>
      </c>
      <c r="C425" s="423" t="s">
        <v>411</v>
      </c>
      <c r="D425" s="394">
        <v>1492.69</v>
      </c>
      <c r="E425" s="423" t="s">
        <v>248</v>
      </c>
      <c r="F425" s="423">
        <v>628</v>
      </c>
    </row>
    <row r="426" spans="1:6">
      <c r="A426" s="439">
        <v>46049</v>
      </c>
      <c r="B426" s="423" t="s">
        <v>72</v>
      </c>
      <c r="C426" s="423" t="s">
        <v>506</v>
      </c>
      <c r="D426" s="394">
        <v>74917.899999999994</v>
      </c>
      <c r="E426" s="423" t="s">
        <v>248</v>
      </c>
      <c r="F426" s="423">
        <v>629</v>
      </c>
    </row>
    <row r="427" spans="1:6">
      <c r="A427" s="439">
        <v>46049</v>
      </c>
      <c r="B427" s="423" t="s">
        <v>69</v>
      </c>
      <c r="C427" s="423" t="s">
        <v>491</v>
      </c>
      <c r="D427" s="394">
        <v>3000</v>
      </c>
      <c r="E427" s="423" t="s">
        <v>248</v>
      </c>
      <c r="F427" s="423">
        <v>630</v>
      </c>
    </row>
    <row r="428" spans="1:6">
      <c r="A428" s="439">
        <v>46076</v>
      </c>
      <c r="B428" s="423" t="s">
        <v>72</v>
      </c>
      <c r="C428" s="423" t="s">
        <v>506</v>
      </c>
      <c r="D428" s="394">
        <v>1830</v>
      </c>
      <c r="E428" s="423" t="s">
        <v>226</v>
      </c>
      <c r="F428" s="423">
        <v>631</v>
      </c>
    </row>
    <row r="429" spans="1:6">
      <c r="A429" s="439">
        <v>46076</v>
      </c>
      <c r="B429" s="423" t="s">
        <v>67</v>
      </c>
      <c r="C429" s="423" t="s">
        <v>479</v>
      </c>
      <c r="D429" s="394">
        <v>500</v>
      </c>
      <c r="E429" s="423" t="s">
        <v>395</v>
      </c>
      <c r="F429" s="423">
        <v>649</v>
      </c>
    </row>
    <row r="430" spans="1:6">
      <c r="A430" s="439">
        <v>46078</v>
      </c>
      <c r="B430" s="423" t="s">
        <v>72</v>
      </c>
      <c r="C430" s="423" t="s">
        <v>506</v>
      </c>
      <c r="D430" s="394">
        <v>500</v>
      </c>
      <c r="E430" s="423" t="s">
        <v>395</v>
      </c>
      <c r="F430" s="423">
        <v>652</v>
      </c>
    </row>
    <row r="431" spans="1:6">
      <c r="A431" s="439">
        <v>46081</v>
      </c>
      <c r="B431" s="423" t="s">
        <v>77</v>
      </c>
      <c r="C431" s="423" t="s">
        <v>75</v>
      </c>
      <c r="D431" s="394">
        <v>200</v>
      </c>
      <c r="E431" s="423" t="s">
        <v>452</v>
      </c>
      <c r="F431" s="423">
        <v>632</v>
      </c>
    </row>
    <row r="432" spans="1:6">
      <c r="A432" s="439">
        <v>46085</v>
      </c>
      <c r="B432" s="423" t="s">
        <v>69</v>
      </c>
      <c r="C432" s="423" t="s">
        <v>491</v>
      </c>
      <c r="D432" s="394">
        <v>69067.899999999994</v>
      </c>
      <c r="E432" s="423" t="s">
        <v>248</v>
      </c>
      <c r="F432" s="423">
        <v>633</v>
      </c>
    </row>
    <row r="433" spans="1:6">
      <c r="A433" s="439">
        <v>46086</v>
      </c>
      <c r="B433" s="423" t="s">
        <v>35</v>
      </c>
      <c r="C433" s="423" t="s">
        <v>449</v>
      </c>
      <c r="D433" s="394">
        <v>157.30000000000001</v>
      </c>
      <c r="E433" s="423" t="s">
        <v>395</v>
      </c>
      <c r="F433" s="423">
        <v>693</v>
      </c>
    </row>
    <row r="434" spans="1:6">
      <c r="A434" s="439">
        <v>46090</v>
      </c>
      <c r="B434" s="423" t="s">
        <v>55</v>
      </c>
      <c r="C434" s="423" t="s">
        <v>331</v>
      </c>
      <c r="D434" s="394">
        <v>1000</v>
      </c>
      <c r="E434" s="423" t="s">
        <v>248</v>
      </c>
      <c r="F434" s="423">
        <v>634</v>
      </c>
    </row>
    <row r="435" spans="1:6">
      <c r="A435" s="447">
        <v>46095</v>
      </c>
      <c r="B435" s="448" t="s">
        <v>60</v>
      </c>
      <c r="C435" s="448" t="s">
        <v>347</v>
      </c>
      <c r="D435" s="449">
        <v>950</v>
      </c>
      <c r="E435" s="423" t="s">
        <v>226</v>
      </c>
      <c r="F435" s="448">
        <v>637</v>
      </c>
    </row>
    <row r="436" spans="1:6">
      <c r="A436" s="439">
        <v>46095</v>
      </c>
      <c r="B436" s="423" t="s">
        <v>60</v>
      </c>
      <c r="C436" s="423" t="s">
        <v>347</v>
      </c>
      <c r="D436" s="394">
        <v>300</v>
      </c>
      <c r="E436" s="423" t="s">
        <v>396</v>
      </c>
      <c r="F436" s="423">
        <v>638</v>
      </c>
    </row>
    <row r="437" spans="1:6">
      <c r="A437" s="439">
        <v>46095</v>
      </c>
      <c r="B437" s="423" t="s">
        <v>60</v>
      </c>
      <c r="C437" s="423" t="s">
        <v>347</v>
      </c>
      <c r="D437" s="394">
        <v>490</v>
      </c>
      <c r="E437" s="423" t="s">
        <v>395</v>
      </c>
      <c r="F437" s="423">
        <v>739</v>
      </c>
    </row>
    <row r="438" spans="1:6">
      <c r="A438" s="439">
        <v>46098</v>
      </c>
      <c r="B438" s="423" t="s">
        <v>73</v>
      </c>
      <c r="C438" s="423" t="s">
        <v>36</v>
      </c>
      <c r="D438" s="394">
        <v>130000</v>
      </c>
      <c r="E438" s="423" t="s">
        <v>248</v>
      </c>
      <c r="F438" s="442">
        <v>639</v>
      </c>
    </row>
    <row r="439" spans="1:6">
      <c r="A439" s="439">
        <v>46101</v>
      </c>
      <c r="B439" s="423" t="s">
        <v>72</v>
      </c>
      <c r="C439" s="423" t="s">
        <v>506</v>
      </c>
      <c r="D439" s="394">
        <v>300</v>
      </c>
      <c r="E439" s="423" t="s">
        <v>396</v>
      </c>
      <c r="F439" s="423">
        <v>640</v>
      </c>
    </row>
    <row r="440" spans="1:6">
      <c r="A440" s="439">
        <v>46101</v>
      </c>
      <c r="B440" s="423" t="s">
        <v>72</v>
      </c>
      <c r="C440" s="423" t="s">
        <v>506</v>
      </c>
      <c r="D440" s="394">
        <v>91538</v>
      </c>
      <c r="E440" s="423" t="s">
        <v>248</v>
      </c>
      <c r="F440" s="423">
        <v>641</v>
      </c>
    </row>
    <row r="441" spans="1:6">
      <c r="A441" s="439">
        <v>46112</v>
      </c>
      <c r="B441" s="423" t="s">
        <v>77</v>
      </c>
      <c r="C441" s="423" t="s">
        <v>75</v>
      </c>
      <c r="D441" s="394">
        <v>200</v>
      </c>
      <c r="E441" s="423" t="s">
        <v>452</v>
      </c>
      <c r="F441" s="423">
        <v>643</v>
      </c>
    </row>
    <row r="442" spans="1:6">
      <c r="A442" s="439">
        <v>46113</v>
      </c>
      <c r="B442" s="423" t="s">
        <v>50</v>
      </c>
      <c r="C442" s="423" t="s">
        <v>411</v>
      </c>
      <c r="D442" s="394">
        <v>2900</v>
      </c>
      <c r="E442" s="423" t="s">
        <v>248</v>
      </c>
      <c r="F442" s="423">
        <v>644</v>
      </c>
    </row>
    <row r="443" spans="1:6">
      <c r="A443" s="439">
        <v>46113</v>
      </c>
      <c r="B443" s="423" t="s">
        <v>63</v>
      </c>
      <c r="C443" s="423" t="s">
        <v>335</v>
      </c>
      <c r="D443" s="394">
        <v>300</v>
      </c>
      <c r="E443" s="423" t="s">
        <v>396</v>
      </c>
      <c r="F443" s="423">
        <v>645</v>
      </c>
    </row>
    <row r="444" spans="1:6">
      <c r="A444" s="439">
        <v>46113</v>
      </c>
      <c r="B444" s="423" t="s">
        <v>70</v>
      </c>
      <c r="C444" s="423" t="s">
        <v>484</v>
      </c>
      <c r="D444" s="394">
        <v>152.9</v>
      </c>
      <c r="E444" s="423" t="s">
        <v>248</v>
      </c>
      <c r="F444" s="423">
        <v>646</v>
      </c>
    </row>
    <row r="445" spans="1:6">
      <c r="A445" s="439">
        <v>46125</v>
      </c>
      <c r="B445" s="423" t="s">
        <v>70</v>
      </c>
      <c r="C445" s="423" t="s">
        <v>484</v>
      </c>
      <c r="D445" s="394">
        <v>68237.100000000006</v>
      </c>
      <c r="E445" s="423" t="s">
        <v>248</v>
      </c>
      <c r="F445" s="423">
        <v>648</v>
      </c>
    </row>
    <row r="446" spans="1:6">
      <c r="A446" s="439">
        <v>46128</v>
      </c>
      <c r="B446" s="423" t="s">
        <v>363</v>
      </c>
      <c r="C446" s="423" t="s">
        <v>494</v>
      </c>
      <c r="D446" s="394">
        <v>3000</v>
      </c>
      <c r="E446" s="423" t="s">
        <v>248</v>
      </c>
      <c r="F446" s="423">
        <v>649</v>
      </c>
    </row>
    <row r="447" spans="1:6">
      <c r="A447" s="439">
        <v>46139</v>
      </c>
      <c r="B447" s="423" t="s">
        <v>74</v>
      </c>
      <c r="C447" s="423" t="s">
        <v>498</v>
      </c>
      <c r="D447" s="394">
        <v>3000</v>
      </c>
      <c r="E447" s="423" t="s">
        <v>248</v>
      </c>
      <c r="F447" s="423">
        <v>650</v>
      </c>
    </row>
    <row r="448" spans="1:6">
      <c r="A448" s="439">
        <v>46139</v>
      </c>
      <c r="B448" s="423" t="s">
        <v>68</v>
      </c>
      <c r="C448" s="423" t="s">
        <v>501</v>
      </c>
      <c r="D448" s="394">
        <v>3000</v>
      </c>
      <c r="E448" s="423" t="s">
        <v>248</v>
      </c>
      <c r="F448" s="423">
        <v>701</v>
      </c>
    </row>
    <row r="449" spans="1:6">
      <c r="A449" s="439">
        <v>46142</v>
      </c>
      <c r="B449" s="423" t="s">
        <v>77</v>
      </c>
      <c r="C449" s="423" t="s">
        <v>75</v>
      </c>
      <c r="D449" s="394">
        <v>200</v>
      </c>
      <c r="E449" s="423" t="s">
        <v>452</v>
      </c>
      <c r="F449" s="423">
        <v>702</v>
      </c>
    </row>
    <row r="450" spans="1:6">
      <c r="A450" s="439">
        <v>46142</v>
      </c>
      <c r="B450" s="423" t="s">
        <v>363</v>
      </c>
      <c r="C450" s="423" t="s">
        <v>494</v>
      </c>
      <c r="D450" s="394">
        <v>107000</v>
      </c>
      <c r="E450" s="423" t="s">
        <v>248</v>
      </c>
      <c r="F450" s="423">
        <v>703</v>
      </c>
    </row>
    <row r="451" spans="1:6">
      <c r="A451" s="439">
        <v>46147</v>
      </c>
      <c r="B451" s="423" t="s">
        <v>74</v>
      </c>
      <c r="C451" s="423" t="s">
        <v>498</v>
      </c>
      <c r="D451" s="394">
        <v>4866.25</v>
      </c>
      <c r="E451" s="423" t="s">
        <v>248</v>
      </c>
      <c r="F451" s="423">
        <v>704</v>
      </c>
    </row>
    <row r="452" spans="1:6">
      <c r="A452" s="447">
        <v>46153</v>
      </c>
      <c r="B452" s="448" t="s">
        <v>55</v>
      </c>
      <c r="C452" s="448" t="s">
        <v>331</v>
      </c>
      <c r="D452" s="449">
        <v>500</v>
      </c>
      <c r="E452" s="448" t="s">
        <v>395</v>
      </c>
      <c r="F452" s="448">
        <v>908</v>
      </c>
    </row>
    <row r="453" spans="1:6">
      <c r="A453" s="447">
        <v>46154</v>
      </c>
      <c r="B453" s="423" t="s">
        <v>77</v>
      </c>
      <c r="C453" s="423" t="s">
        <v>75</v>
      </c>
      <c r="D453" s="449">
        <v>500</v>
      </c>
      <c r="E453" s="448" t="s">
        <v>395</v>
      </c>
      <c r="F453" s="448">
        <v>912</v>
      </c>
    </row>
    <row r="454" spans="1:6">
      <c r="A454" s="439">
        <v>46161</v>
      </c>
      <c r="B454" s="423" t="s">
        <v>72</v>
      </c>
      <c r="C454" s="423" t="s">
        <v>506</v>
      </c>
      <c r="D454" s="394">
        <v>10079.1</v>
      </c>
      <c r="E454" s="423" t="s">
        <v>248</v>
      </c>
      <c r="F454" s="423">
        <v>706</v>
      </c>
    </row>
    <row r="455" spans="1:6">
      <c r="A455" s="439">
        <v>46169</v>
      </c>
      <c r="B455" s="423" t="s">
        <v>74</v>
      </c>
      <c r="C455" s="423" t="s">
        <v>498</v>
      </c>
      <c r="D455" s="394">
        <v>15000</v>
      </c>
      <c r="E455" s="423" t="s">
        <v>248</v>
      </c>
      <c r="F455" s="423">
        <v>707</v>
      </c>
    </row>
    <row r="456" spans="1:6">
      <c r="A456" s="439">
        <v>46171</v>
      </c>
      <c r="B456" s="423" t="s">
        <v>74</v>
      </c>
      <c r="C456" s="423" t="s">
        <v>498</v>
      </c>
      <c r="D456" s="394">
        <v>57133.75</v>
      </c>
      <c r="E456" s="423" t="s">
        <v>248</v>
      </c>
      <c r="F456" s="423">
        <v>708</v>
      </c>
    </row>
    <row r="457" spans="1:6">
      <c r="A457" s="439">
        <v>46182</v>
      </c>
      <c r="B457" s="423" t="s">
        <v>363</v>
      </c>
      <c r="C457" s="423" t="s">
        <v>494</v>
      </c>
      <c r="D457" s="394">
        <v>300</v>
      </c>
      <c r="E457" s="423" t="s">
        <v>396</v>
      </c>
      <c r="F457" s="423">
        <v>709</v>
      </c>
    </row>
    <row r="458" spans="1:6">
      <c r="A458" s="439">
        <v>46182</v>
      </c>
      <c r="B458" s="423" t="s">
        <v>363</v>
      </c>
      <c r="C458" s="423" t="s">
        <v>494</v>
      </c>
      <c r="D458" s="394">
        <v>250</v>
      </c>
      <c r="E458" s="423" t="s">
        <v>395</v>
      </c>
      <c r="F458" s="423">
        <v>710</v>
      </c>
    </row>
    <row r="459" spans="1:6">
      <c r="A459" s="439">
        <v>46199</v>
      </c>
      <c r="B459" s="423" t="s">
        <v>68</v>
      </c>
      <c r="C459" s="423" t="s">
        <v>501</v>
      </c>
      <c r="D459" s="394">
        <v>5000</v>
      </c>
      <c r="E459" s="423" t="s">
        <v>248</v>
      </c>
      <c r="F459" s="423">
        <v>710</v>
      </c>
    </row>
    <row r="460" spans="1:6">
      <c r="A460" s="439">
        <v>46199</v>
      </c>
      <c r="B460" s="423" t="s">
        <v>68</v>
      </c>
      <c r="C460" s="423" t="s">
        <v>501</v>
      </c>
      <c r="D460" s="394">
        <v>5000</v>
      </c>
      <c r="E460" s="423" t="s">
        <v>248</v>
      </c>
      <c r="F460" s="423">
        <v>711</v>
      </c>
    </row>
    <row r="461" spans="1:6">
      <c r="A461" s="439">
        <v>46203</v>
      </c>
      <c r="B461" s="423" t="s">
        <v>70</v>
      </c>
      <c r="C461" s="423" t="s">
        <v>484</v>
      </c>
      <c r="D461" s="394">
        <v>2923.55</v>
      </c>
      <c r="E461" s="423" t="s">
        <v>226</v>
      </c>
      <c r="F461" s="423">
        <v>715</v>
      </c>
    </row>
    <row r="462" spans="1:6">
      <c r="A462" s="439">
        <v>46203</v>
      </c>
      <c r="B462" s="423" t="s">
        <v>55</v>
      </c>
      <c r="C462" s="423" t="s">
        <v>331</v>
      </c>
      <c r="D462" s="394">
        <v>1000</v>
      </c>
      <c r="E462" s="423" t="s">
        <v>248</v>
      </c>
      <c r="F462" s="423">
        <v>716</v>
      </c>
    </row>
    <row r="463" spans="1:6">
      <c r="A463" s="456">
        <v>46225</v>
      </c>
      <c r="B463" s="442" t="s">
        <v>68</v>
      </c>
      <c r="C463" s="442" t="s">
        <v>501</v>
      </c>
      <c r="D463" s="452">
        <v>300</v>
      </c>
      <c r="E463" s="442" t="s">
        <v>396</v>
      </c>
      <c r="F463" s="442">
        <v>720</v>
      </c>
    </row>
    <row r="464" spans="1:6">
      <c r="A464" s="456">
        <v>46225</v>
      </c>
      <c r="B464" s="442" t="s">
        <v>68</v>
      </c>
      <c r="C464" s="442" t="s">
        <v>501</v>
      </c>
      <c r="D464" s="449">
        <v>500</v>
      </c>
      <c r="E464" s="448" t="s">
        <v>395</v>
      </c>
      <c r="F464" s="442">
        <v>1083</v>
      </c>
    </row>
    <row r="465" spans="1:6">
      <c r="A465" s="439">
        <v>46232</v>
      </c>
      <c r="B465" s="423" t="s">
        <v>87</v>
      </c>
      <c r="C465" s="423" t="s">
        <v>494</v>
      </c>
      <c r="D465" s="394">
        <v>3000</v>
      </c>
      <c r="E465" s="423" t="s">
        <v>248</v>
      </c>
      <c r="F465" s="423">
        <v>721</v>
      </c>
    </row>
    <row r="466" spans="1:6">
      <c r="A466" s="439">
        <v>46234</v>
      </c>
      <c r="B466" s="423" t="s">
        <v>77</v>
      </c>
      <c r="C466" s="423" t="s">
        <v>75</v>
      </c>
      <c r="D466" s="394">
        <v>200</v>
      </c>
      <c r="E466" s="423" t="s">
        <v>452</v>
      </c>
      <c r="F466" s="423">
        <v>722</v>
      </c>
    </row>
    <row r="467" spans="1:6">
      <c r="A467" s="439">
        <v>46238</v>
      </c>
      <c r="B467" s="423" t="s">
        <v>71</v>
      </c>
      <c r="C467" s="423" t="s">
        <v>511</v>
      </c>
      <c r="D467" s="451">
        <v>3062.55</v>
      </c>
      <c r="E467" s="423" t="s">
        <v>248</v>
      </c>
      <c r="F467" s="423">
        <v>723</v>
      </c>
    </row>
    <row r="468" spans="1:6">
      <c r="A468" s="439">
        <v>46238</v>
      </c>
      <c r="B468" s="423" t="s">
        <v>55</v>
      </c>
      <c r="C468" s="423" t="s">
        <v>331</v>
      </c>
      <c r="D468" s="394">
        <v>1000</v>
      </c>
      <c r="E468" s="423" t="s">
        <v>248</v>
      </c>
      <c r="F468" s="423">
        <v>724</v>
      </c>
    </row>
    <row r="469" spans="1:6">
      <c r="A469" s="439">
        <v>46245</v>
      </c>
      <c r="B469" s="423" t="s">
        <v>89</v>
      </c>
      <c r="C469" s="423" t="s">
        <v>513</v>
      </c>
      <c r="D469" s="451">
        <v>3000</v>
      </c>
      <c r="E469" s="423" t="s">
        <v>248</v>
      </c>
      <c r="F469" s="423">
        <v>725</v>
      </c>
    </row>
    <row r="470" spans="1:6">
      <c r="A470" s="439">
        <v>46245</v>
      </c>
      <c r="B470" s="423" t="s">
        <v>28</v>
      </c>
      <c r="C470" s="423" t="s">
        <v>416</v>
      </c>
      <c r="D470" s="394">
        <v>5000</v>
      </c>
      <c r="E470" s="423" t="s">
        <v>248</v>
      </c>
      <c r="F470" s="423">
        <v>726</v>
      </c>
    </row>
    <row r="471" spans="1:6">
      <c r="A471" s="456">
        <v>46253</v>
      </c>
      <c r="B471" s="442" t="s">
        <v>70</v>
      </c>
      <c r="C471" s="442" t="s">
        <v>484</v>
      </c>
      <c r="D471" s="449">
        <v>492.12</v>
      </c>
      <c r="E471" s="448" t="s">
        <v>395</v>
      </c>
      <c r="F471" s="442">
        <v>1176</v>
      </c>
    </row>
    <row r="472" spans="1:6">
      <c r="A472" s="456" t="s">
        <v>483</v>
      </c>
      <c r="B472" s="423" t="s">
        <v>37</v>
      </c>
      <c r="C472" s="423" t="s">
        <v>36</v>
      </c>
      <c r="D472" s="394">
        <v>24000</v>
      </c>
      <c r="E472" s="423" t="s">
        <v>248</v>
      </c>
      <c r="F472" s="442" t="s">
        <v>483</v>
      </c>
    </row>
    <row r="473" spans="1:6">
      <c r="A473" s="442" t="s">
        <v>132</v>
      </c>
      <c r="B473" s="423" t="s">
        <v>29</v>
      </c>
      <c r="C473" s="423" t="s">
        <v>33</v>
      </c>
      <c r="D473" s="394">
        <v>-16993.669999999998</v>
      </c>
      <c r="E473" s="423" t="s">
        <v>248</v>
      </c>
      <c r="F473" s="442" t="s">
        <v>132</v>
      </c>
    </row>
    <row r="474" spans="1:6">
      <c r="A474" s="442" t="s">
        <v>132</v>
      </c>
      <c r="B474" s="423" t="s">
        <v>81</v>
      </c>
      <c r="C474" s="423" t="s">
        <v>414</v>
      </c>
      <c r="D474" s="394">
        <v>-1990.8</v>
      </c>
      <c r="E474" s="423" t="s">
        <v>248</v>
      </c>
      <c r="F474" s="442" t="s">
        <v>132</v>
      </c>
    </row>
    <row r="475" spans="1:6">
      <c r="A475" s="442" t="s">
        <v>475</v>
      </c>
      <c r="B475" s="423" t="s">
        <v>29</v>
      </c>
      <c r="C475" s="423" t="s">
        <v>33</v>
      </c>
      <c r="D475" s="394">
        <v>-11950.74</v>
      </c>
      <c r="E475" s="423" t="s">
        <v>248</v>
      </c>
      <c r="F475" s="442" t="s">
        <v>475</v>
      </c>
    </row>
    <row r="476" spans="1:6">
      <c r="A476" s="442" t="s">
        <v>466</v>
      </c>
      <c r="B476" s="423" t="s">
        <v>29</v>
      </c>
      <c r="C476" s="423" t="s">
        <v>33</v>
      </c>
      <c r="D476" s="394">
        <v>-10000</v>
      </c>
      <c r="E476" s="423" t="s">
        <v>248</v>
      </c>
      <c r="F476" s="442" t="s">
        <v>466</v>
      </c>
    </row>
    <row r="477" spans="1:6">
      <c r="A477" s="423" t="s">
        <v>420</v>
      </c>
      <c r="B477" s="423" t="s">
        <v>47</v>
      </c>
      <c r="C477" s="423" t="s">
        <v>45</v>
      </c>
      <c r="D477" s="394">
        <v>1870</v>
      </c>
      <c r="E477" s="423" t="s">
        <v>226</v>
      </c>
      <c r="F477" s="423" t="s">
        <v>420</v>
      </c>
    </row>
    <row r="478" spans="1:6">
      <c r="A478" s="423" t="s">
        <v>420</v>
      </c>
      <c r="B478" s="423" t="s">
        <v>16</v>
      </c>
      <c r="C478" s="423" t="s">
        <v>14</v>
      </c>
      <c r="D478" s="394">
        <v>1950</v>
      </c>
      <c r="E478" s="423" t="s">
        <v>226</v>
      </c>
      <c r="F478" s="423" t="s">
        <v>420</v>
      </c>
    </row>
    <row r="479" spans="1:6">
      <c r="A479" s="423" t="s">
        <v>420</v>
      </c>
      <c r="B479" s="423" t="s">
        <v>16</v>
      </c>
      <c r="C479" s="423" t="s">
        <v>14</v>
      </c>
      <c r="D479" s="394">
        <v>2555.25</v>
      </c>
      <c r="E479" s="423" t="s">
        <v>248</v>
      </c>
      <c r="F479" s="423" t="s">
        <v>420</v>
      </c>
    </row>
    <row r="480" spans="1:6">
      <c r="A480" s="439"/>
      <c r="B480" s="423" t="s">
        <v>7</v>
      </c>
      <c r="C480" s="423" t="s">
        <v>5</v>
      </c>
      <c r="D480" s="394">
        <v>5858.13</v>
      </c>
      <c r="E480" s="423" t="s">
        <v>226</v>
      </c>
    </row>
    <row r="481" spans="1:4">
      <c r="A481" s="439"/>
      <c r="D481" s="394"/>
    </row>
    <row r="482" spans="1:4">
      <c r="A482" s="439"/>
      <c r="D482" s="451"/>
    </row>
    <row r="483" spans="1:4">
      <c r="A483" s="439"/>
      <c r="D483" s="451"/>
    </row>
    <row r="484" spans="1:4">
      <c r="A484" s="439"/>
      <c r="D484" s="451"/>
    </row>
    <row r="485" spans="1:4">
      <c r="A485" s="439"/>
      <c r="D485" s="451"/>
    </row>
    <row r="486" spans="1:4">
      <c r="A486" s="439"/>
      <c r="D486" s="451"/>
    </row>
    <row r="487" spans="1:4">
      <c r="A487" s="439"/>
      <c r="D487" s="451"/>
    </row>
    <row r="488" spans="1:4">
      <c r="A488" s="439"/>
      <c r="D488" s="451"/>
    </row>
    <row r="489" spans="1:4">
      <c r="A489" s="439"/>
      <c r="D489" s="451"/>
    </row>
    <row r="490" spans="1:4">
      <c r="A490" s="439"/>
      <c r="D490" s="451"/>
    </row>
    <row r="491" spans="1:4">
      <c r="A491" s="439"/>
      <c r="D491" s="451"/>
    </row>
    <row r="492" spans="1:4">
      <c r="A492" s="439"/>
      <c r="D492" s="451"/>
    </row>
    <row r="493" spans="1:4">
      <c r="A493" s="439"/>
      <c r="D493" s="451"/>
    </row>
    <row r="494" spans="1:4">
      <c r="A494" s="439"/>
      <c r="D494" s="451"/>
    </row>
    <row r="495" spans="1:4">
      <c r="A495" s="439"/>
      <c r="D495" s="451"/>
    </row>
    <row r="496" spans="1:4">
      <c r="A496" s="439"/>
      <c r="D496" s="451"/>
    </row>
    <row r="497" spans="1:4">
      <c r="A497" s="439"/>
      <c r="D497" s="451"/>
    </row>
    <row r="498" spans="1:4">
      <c r="A498" s="439"/>
      <c r="D498" s="451"/>
    </row>
    <row r="499" spans="1:4">
      <c r="A499" s="439"/>
      <c r="D499" s="451"/>
    </row>
    <row r="500" spans="1:4">
      <c r="A500" s="439"/>
      <c r="D500" s="451"/>
    </row>
    <row r="501" spans="1:4">
      <c r="A501" s="439"/>
      <c r="D501" s="451"/>
    </row>
    <row r="502" spans="1:4">
      <c r="A502" s="439"/>
      <c r="D502" s="451"/>
    </row>
    <row r="503" spans="1:4">
      <c r="A503" s="439"/>
      <c r="D503" s="451"/>
    </row>
    <row r="504" spans="1:4">
      <c r="A504" s="439"/>
      <c r="D504" s="451"/>
    </row>
    <row r="505" spans="1:4">
      <c r="A505" s="439"/>
      <c r="D505" s="451"/>
    </row>
    <row r="506" spans="1:4">
      <c r="A506" s="439"/>
      <c r="D506" s="451"/>
    </row>
    <row r="507" spans="1:4">
      <c r="A507" s="439"/>
      <c r="D507" s="451"/>
    </row>
    <row r="508" spans="1:4">
      <c r="A508" s="439"/>
      <c r="D508" s="451"/>
    </row>
    <row r="509" spans="1:4">
      <c r="A509" s="439"/>
      <c r="D509" s="451"/>
    </row>
    <row r="510" spans="1:4">
      <c r="A510" s="439"/>
      <c r="D510" s="451"/>
    </row>
    <row r="511" spans="1:4">
      <c r="A511" s="439"/>
      <c r="D511" s="451"/>
    </row>
    <row r="512" spans="1:4">
      <c r="A512" s="439"/>
      <c r="D512" s="451"/>
    </row>
    <row r="513" spans="1:4">
      <c r="A513" s="439"/>
      <c r="D513" s="451"/>
    </row>
    <row r="514" spans="1:4">
      <c r="A514" s="439"/>
      <c r="D514" s="451"/>
    </row>
    <row r="515" spans="1:4">
      <c r="A515" s="439"/>
      <c r="D515" s="451"/>
    </row>
    <row r="516" spans="1:4">
      <c r="A516" s="439"/>
      <c r="D516" s="451"/>
    </row>
    <row r="517" spans="1:4">
      <c r="A517" s="439"/>
      <c r="D517" s="451"/>
    </row>
    <row r="518" spans="1:4">
      <c r="A518" s="439"/>
      <c r="D518" s="451"/>
    </row>
    <row r="519" spans="1:4">
      <c r="A519" s="439"/>
      <c r="D519" s="451"/>
    </row>
    <row r="520" spans="1:4">
      <c r="A520" s="439"/>
      <c r="D520" s="451"/>
    </row>
    <row r="521" spans="1:4">
      <c r="A521" s="439"/>
      <c r="D521" s="451"/>
    </row>
    <row r="522" spans="1:4">
      <c r="A522" s="439"/>
      <c r="D522" s="451"/>
    </row>
    <row r="523" spans="1:4">
      <c r="A523" s="439"/>
      <c r="D523" s="451"/>
    </row>
    <row r="524" spans="1:4">
      <c r="A524" s="439"/>
      <c r="D524" s="451"/>
    </row>
    <row r="525" spans="1:4">
      <c r="A525" s="439"/>
      <c r="D525" s="451"/>
    </row>
    <row r="526" spans="1:4">
      <c r="A526" s="439"/>
      <c r="D526" s="451"/>
    </row>
    <row r="527" spans="1:4">
      <c r="A527" s="439"/>
      <c r="D527" s="451"/>
    </row>
    <row r="528" spans="1:4">
      <c r="A528" s="439"/>
      <c r="D528" s="451"/>
    </row>
    <row r="529" spans="1:4">
      <c r="A529" s="439"/>
      <c r="D529" s="451"/>
    </row>
    <row r="530" spans="1:4">
      <c r="A530" s="439"/>
      <c r="D530" s="451"/>
    </row>
    <row r="531" spans="1:4">
      <c r="A531" s="439"/>
      <c r="D531" s="451"/>
    </row>
    <row r="532" spans="1:4">
      <c r="A532" s="439"/>
      <c r="D532" s="451"/>
    </row>
    <row r="533" spans="1:4">
      <c r="A533" s="439"/>
      <c r="D533" s="451"/>
    </row>
    <row r="534" spans="1:4">
      <c r="A534" s="439"/>
      <c r="D534" s="451"/>
    </row>
    <row r="535" spans="1:4">
      <c r="A535" s="439"/>
      <c r="D535" s="451"/>
    </row>
    <row r="536" spans="1:4">
      <c r="A536" s="439"/>
      <c r="D536" s="451"/>
    </row>
    <row r="537" spans="1:4">
      <c r="A537" s="439"/>
      <c r="D537" s="451"/>
    </row>
    <row r="538" spans="1:4">
      <c r="A538" s="439"/>
      <c r="D538" s="451"/>
    </row>
    <row r="539" spans="1:4">
      <c r="A539" s="439"/>
      <c r="D539" s="451"/>
    </row>
    <row r="540" spans="1:4">
      <c r="A540" s="439"/>
      <c r="D540" s="451"/>
    </row>
    <row r="541" spans="1:4">
      <c r="A541" s="439"/>
      <c r="D541" s="451"/>
    </row>
    <row r="542" spans="1:4">
      <c r="A542" s="439"/>
      <c r="D542" s="451"/>
    </row>
    <row r="543" spans="1:4">
      <c r="A543" s="439"/>
      <c r="D543" s="451"/>
    </row>
    <row r="544" spans="1:4">
      <c r="A544" s="439"/>
      <c r="D544" s="451"/>
    </row>
    <row r="545" spans="1:4">
      <c r="A545" s="439"/>
      <c r="D545" s="451"/>
    </row>
    <row r="546" spans="1:4">
      <c r="A546" s="439"/>
      <c r="D546" s="451"/>
    </row>
    <row r="547" spans="1:4">
      <c r="A547" s="439"/>
      <c r="D547" s="451"/>
    </row>
    <row r="548" spans="1:4">
      <c r="A548" s="439"/>
      <c r="D548" s="451"/>
    </row>
    <row r="549" spans="1:4">
      <c r="A549" s="439"/>
      <c r="D549" s="451"/>
    </row>
    <row r="550" spans="1:4">
      <c r="A550" s="439"/>
      <c r="D550" s="451"/>
    </row>
    <row r="551" spans="1:4">
      <c r="A551" s="439"/>
      <c r="D551" s="451"/>
    </row>
    <row r="552" spans="1:4">
      <c r="A552" s="439"/>
      <c r="D552" s="451"/>
    </row>
    <row r="553" spans="1:4">
      <c r="A553" s="439"/>
      <c r="D553" s="451"/>
    </row>
    <row r="554" spans="1:4">
      <c r="A554" s="439"/>
      <c r="D554" s="451"/>
    </row>
    <row r="555" spans="1:4">
      <c r="A555" s="439"/>
      <c r="D555" s="451"/>
    </row>
    <row r="556" spans="1:4">
      <c r="A556" s="439"/>
      <c r="D556" s="451"/>
    </row>
    <row r="557" spans="1:4">
      <c r="A557" s="439"/>
      <c r="D557" s="451"/>
    </row>
    <row r="558" spans="1:4">
      <c r="A558" s="439"/>
      <c r="D558" s="451"/>
    </row>
    <row r="559" spans="1:4">
      <c r="A559" s="439"/>
      <c r="D559" s="451"/>
    </row>
    <row r="560" spans="1:4">
      <c r="A560" s="439"/>
      <c r="D560" s="451"/>
    </row>
    <row r="561" spans="1:4">
      <c r="A561" s="439"/>
      <c r="D561" s="451"/>
    </row>
    <row r="562" spans="1:4">
      <c r="A562" s="439"/>
      <c r="D562" s="451"/>
    </row>
    <row r="563" spans="1:4">
      <c r="A563" s="439"/>
      <c r="D563" s="451"/>
    </row>
    <row r="564" spans="1:4">
      <c r="A564" s="439"/>
      <c r="D564" s="451"/>
    </row>
    <row r="565" spans="1:4">
      <c r="A565" s="439"/>
      <c r="D565" s="451"/>
    </row>
    <row r="566" spans="1:4">
      <c r="A566" s="439"/>
      <c r="D566" s="451"/>
    </row>
    <row r="567" spans="1:4">
      <c r="A567" s="439"/>
      <c r="D567" s="451"/>
    </row>
    <row r="568" spans="1:4">
      <c r="A568" s="439"/>
      <c r="D568" s="451"/>
    </row>
    <row r="569" spans="1:4">
      <c r="A569" s="439"/>
      <c r="D569" s="451"/>
    </row>
    <row r="570" spans="1:4">
      <c r="A570" s="439"/>
      <c r="D570" s="451"/>
    </row>
    <row r="571" spans="1:4">
      <c r="A571" s="439"/>
      <c r="D571" s="451"/>
    </row>
    <row r="572" spans="1:4">
      <c r="A572" s="439"/>
      <c r="D572" s="451"/>
    </row>
    <row r="573" spans="1:4">
      <c r="A573" s="439"/>
      <c r="D573" s="451"/>
    </row>
    <row r="574" spans="1:4">
      <c r="A574" s="439"/>
      <c r="D574" s="451"/>
    </row>
    <row r="575" spans="1:4">
      <c r="A575" s="439"/>
      <c r="D575" s="451"/>
    </row>
    <row r="576" spans="1:4">
      <c r="A576" s="439"/>
      <c r="D576" s="451"/>
    </row>
    <row r="577" spans="1:4">
      <c r="A577" s="439"/>
      <c r="D577" s="451"/>
    </row>
    <row r="578" spans="1:4">
      <c r="A578" s="439"/>
      <c r="D578" s="451"/>
    </row>
    <row r="579" spans="1:4">
      <c r="A579" s="439"/>
      <c r="D579" s="451"/>
    </row>
    <row r="580" spans="1:4">
      <c r="A580" s="439"/>
      <c r="D580" s="451"/>
    </row>
    <row r="581" spans="1:4">
      <c r="A581" s="439"/>
      <c r="D581" s="451"/>
    </row>
    <row r="582" spans="1:4">
      <c r="A582" s="439"/>
      <c r="D582" s="451"/>
    </row>
    <row r="583" spans="1:4">
      <c r="A583" s="439"/>
      <c r="D583" s="451"/>
    </row>
    <row r="584" spans="1:4">
      <c r="A584" s="439"/>
      <c r="D584" s="451"/>
    </row>
    <row r="585" spans="1:4">
      <c r="A585" s="439"/>
      <c r="D585" s="451"/>
    </row>
    <row r="586" spans="1:4">
      <c r="A586" s="439"/>
      <c r="D586" s="451"/>
    </row>
    <row r="587" spans="1:4">
      <c r="A587" s="439"/>
      <c r="D587" s="451"/>
    </row>
    <row r="588" spans="1:4">
      <c r="A588" s="439"/>
      <c r="D588" s="451"/>
    </row>
    <row r="589" spans="1:4">
      <c r="A589" s="439"/>
      <c r="D589" s="451"/>
    </row>
    <row r="590" spans="1:4">
      <c r="A590" s="439"/>
      <c r="D590" s="451"/>
    </row>
    <row r="591" spans="1:4">
      <c r="A591" s="439"/>
      <c r="D591" s="451"/>
    </row>
  </sheetData>
  <phoneticPr fontId="15" type="noConversion"/>
  <conditionalFormatting sqref="E3:F59">
    <cfRule type="cellIs" dxfId="6" priority="2" operator="greaterThan">
      <formula>0</formula>
    </cfRule>
  </conditionalFormatting>
  <conditionalFormatting sqref="I3:I59">
    <cfRule type="cellIs" dxfId="5" priority="7" operator="greaterThan">
      <formula>0</formula>
    </cfRule>
  </conditionalFormatting>
  <conditionalFormatting sqref="L3:L59">
    <cfRule type="cellIs" dxfId="4" priority="6" operator="greaterThan">
      <formula>0</formula>
    </cfRule>
  </conditionalFormatting>
  <conditionalFormatting sqref="O3:O59">
    <cfRule type="cellIs" dxfId="3" priority="5" operator="greaterThan">
      <formula>0</formula>
    </cfRule>
  </conditionalFormatting>
  <conditionalFormatting sqref="R3:R59">
    <cfRule type="cellIs" dxfId="2" priority="4" operator="greaterThan">
      <formula>0</formula>
    </cfRule>
  </conditionalFormatting>
  <conditionalFormatting sqref="U3:U59">
    <cfRule type="cellIs" dxfId="1" priority="3" operator="greaterThan">
      <formula>0</formula>
    </cfRule>
  </conditionalFormatting>
  <conditionalFormatting sqref="X3:X59">
    <cfRule type="cellIs" dxfId="0" priority="1" operator="greaterThan">
      <formula>0</formula>
    </cfRule>
  </conditionalFormatting>
  <dataValidations count="1">
    <dataValidation type="list" allowBlank="1" showInputMessage="1" showErrorMessage="1" sqref="E64:E450 E452:E465 E469:E471 E474:E478 E480:E482" xr:uid="{4FB0DF8C-B2A7-0C48-84C3-090EA99F175E}">
      <formula1>"ABONO,MULTIBANK,GASTOS LEGALES,FONDO ADM,MEDIDOR,PENALIZACIÓN"</formula1>
    </dataValidation>
  </dataValidations>
  <pageMargins left="0.7" right="0.7" top="0.75" bottom="0.75" header="0.3" footer="0.3"/>
  <pageSetup orientation="portrait" horizontalDpi="0" verticalDpi="0"/>
  <legacy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EFFAE7-B420-8847-97B1-DD2A26F598C5}">
          <x14:formula1>
            <xm:f>'BASE DATOS'!$A$2:$A$58</xm:f>
          </x14:formula1>
          <xm:sqref>B276:B283 B307:B308 B285:B299 B301:B302 B304:B305 B310:B325 B328:B331 B333:B336 B338:B345 B347:B380 B64:B217 B220:B274 B382:B449 B452:B465 B469:B471 B474 B476:B478 B480:B482</xm:sqref>
        </x14:dataValidation>
        <x14:dataValidation type="list" allowBlank="1" showInputMessage="1" showErrorMessage="1" xr:uid="{BD6B7E76-4D77-0849-B9D2-9800EBB04B5D}">
          <x14:formula1>
            <xm:f>'BASE DATOS'!$C$2:$C$58</xm:f>
          </x14:formula1>
          <xm:sqref>C258:C274 C276:C283 C285:C291 C294:C295 C297:C299 C302 C304:C305 C307 C310:C325 C328:C331 C333:C336 C338:C345 C347:C373 C376:C380 C382:C385 C64:C217 C387:C415 C220:C255 C420:C449 C452:C465 C469:C471 C476:C478 C480:C482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299E-056A-6F47-8DB7-584AD0821CF1}">
  <sheetPr codeName="Hoja4"/>
  <dimension ref="A1:N59"/>
  <sheetViews>
    <sheetView zoomScale="125" workbookViewId="0">
      <pane xSplit="2" ySplit="1" topLeftCell="C31" activePane="bottomRight" state="frozen"/>
      <selection pane="topRight" activeCell="C1" sqref="C1"/>
      <selection pane="bottomLeft" activeCell="A2" sqref="A2"/>
      <selection pane="bottomRight" activeCell="H42" sqref="H42"/>
    </sheetView>
  </sheetViews>
  <sheetFormatPr baseColWidth="10" defaultRowHeight="13"/>
  <cols>
    <col min="1" max="2" width="10.83203125" style="258"/>
    <col min="3" max="3" width="19.33203125" style="258" customWidth="1"/>
    <col min="4" max="4" width="10.83203125" style="258" customWidth="1"/>
    <col min="5" max="5" width="17.5" style="258" customWidth="1"/>
    <col min="6" max="7" width="10.83203125" style="258"/>
    <col min="8" max="8" width="13.1640625" style="258" customWidth="1"/>
    <col min="9" max="10" width="20" style="258" customWidth="1"/>
    <col min="11" max="11" width="16.1640625" style="258" customWidth="1"/>
    <col min="12" max="12" width="12.1640625" style="258" customWidth="1"/>
    <col min="13" max="13" width="16.83203125" style="258" customWidth="1"/>
    <col min="14" max="16384" width="10.83203125" style="258"/>
  </cols>
  <sheetData>
    <row r="1" spans="1:14" s="254" customFormat="1" ht="43" thickBot="1">
      <c r="A1" s="244" t="s">
        <v>126</v>
      </c>
      <c r="B1" s="239" t="s">
        <v>124</v>
      </c>
      <c r="C1" s="239" t="s">
        <v>0</v>
      </c>
      <c r="D1" s="239" t="s">
        <v>127</v>
      </c>
      <c r="E1" s="240" t="s">
        <v>128</v>
      </c>
      <c r="F1" s="240" t="s">
        <v>92</v>
      </c>
      <c r="G1" s="241" t="s">
        <v>129</v>
      </c>
      <c r="H1" s="242" t="s">
        <v>130</v>
      </c>
      <c r="I1" s="242" t="s">
        <v>131</v>
      </c>
      <c r="J1" s="242" t="s">
        <v>287</v>
      </c>
      <c r="K1" s="242" t="s">
        <v>132</v>
      </c>
      <c r="L1" s="245" t="s">
        <v>284</v>
      </c>
      <c r="M1" s="245" t="s">
        <v>285</v>
      </c>
      <c r="N1" s="245" t="s">
        <v>286</v>
      </c>
    </row>
    <row r="2" spans="1:14" ht="14">
      <c r="A2" s="14" t="s">
        <v>133</v>
      </c>
      <c r="B2" s="15">
        <v>0</v>
      </c>
      <c r="C2" s="15"/>
      <c r="D2" s="15"/>
      <c r="E2" s="16"/>
      <c r="F2" s="251"/>
      <c r="G2" s="22"/>
      <c r="H2" s="17"/>
      <c r="I2" s="17"/>
      <c r="J2" s="17"/>
      <c r="K2" s="17"/>
      <c r="L2" s="255"/>
      <c r="M2" s="256"/>
      <c r="N2" s="257"/>
    </row>
    <row r="3" spans="1:14" ht="14">
      <c r="A3" s="18" t="s">
        <v>134</v>
      </c>
      <c r="B3" s="17">
        <v>0</v>
      </c>
      <c r="C3" s="17" t="s">
        <v>410</v>
      </c>
      <c r="D3" s="17">
        <v>571322934</v>
      </c>
      <c r="E3" s="19" t="s">
        <v>139</v>
      </c>
      <c r="F3" s="21">
        <v>45463</v>
      </c>
      <c r="G3" s="22">
        <v>45532</v>
      </c>
      <c r="H3" s="17" t="s">
        <v>140</v>
      </c>
      <c r="I3" s="17" t="s">
        <v>345</v>
      </c>
      <c r="J3" s="17" t="s">
        <v>151</v>
      </c>
      <c r="K3" s="17" t="s">
        <v>151</v>
      </c>
      <c r="L3" s="410">
        <v>2947.9</v>
      </c>
      <c r="M3" s="256"/>
      <c r="N3" s="257">
        <v>45649</v>
      </c>
    </row>
    <row r="4" spans="1:14" ht="14">
      <c r="A4" s="18" t="s">
        <v>135</v>
      </c>
      <c r="B4" s="17">
        <v>0</v>
      </c>
      <c r="C4" s="17"/>
      <c r="D4" s="17"/>
      <c r="E4" s="19"/>
      <c r="F4" s="21"/>
      <c r="G4" s="22"/>
      <c r="H4" s="17"/>
      <c r="I4" s="17"/>
      <c r="J4" s="17"/>
      <c r="K4" s="17"/>
      <c r="L4" s="255"/>
      <c r="M4" s="256"/>
      <c r="N4" s="257"/>
    </row>
    <row r="5" spans="1:14" ht="42">
      <c r="A5" s="18" t="s">
        <v>136</v>
      </c>
      <c r="B5" s="17">
        <v>0</v>
      </c>
      <c r="C5" s="246" t="s">
        <v>137</v>
      </c>
      <c r="D5" s="17" t="s">
        <v>138</v>
      </c>
      <c r="E5" s="19" t="s">
        <v>139</v>
      </c>
      <c r="F5" s="21">
        <v>45145</v>
      </c>
      <c r="G5" s="22">
        <v>45167</v>
      </c>
      <c r="H5" s="17" t="s">
        <v>140</v>
      </c>
      <c r="I5" s="17"/>
      <c r="J5" s="17" t="s">
        <v>151</v>
      </c>
      <c r="K5" s="17" t="s">
        <v>151</v>
      </c>
      <c r="L5" s="255">
        <v>2875</v>
      </c>
      <c r="M5" s="256"/>
      <c r="N5" s="257">
        <v>45203</v>
      </c>
    </row>
    <row r="6" spans="1:14" ht="14">
      <c r="A6" s="18" t="s">
        <v>141</v>
      </c>
      <c r="B6" s="17">
        <v>0</v>
      </c>
      <c r="C6" s="17"/>
      <c r="D6" s="17"/>
      <c r="E6" s="19"/>
      <c r="F6" s="21"/>
      <c r="G6" s="22"/>
      <c r="H6" s="17"/>
      <c r="I6" s="17"/>
      <c r="J6" s="17"/>
      <c r="K6" s="17"/>
      <c r="L6" s="255"/>
      <c r="M6" s="256"/>
      <c r="N6" s="257"/>
    </row>
    <row r="7" spans="1:14" ht="14">
      <c r="A7" s="18" t="s">
        <v>142</v>
      </c>
      <c r="B7" s="17">
        <v>0</v>
      </c>
      <c r="C7" s="17"/>
      <c r="D7" s="17"/>
      <c r="E7" s="19"/>
      <c r="F7" s="21"/>
      <c r="G7" s="22"/>
      <c r="H7" s="17"/>
      <c r="I7" s="17"/>
      <c r="J7" s="17"/>
      <c r="K7" s="17"/>
      <c r="L7" s="255"/>
      <c r="M7" s="256"/>
      <c r="N7" s="257"/>
    </row>
    <row r="8" spans="1:14" ht="14">
      <c r="A8" s="18" t="s">
        <v>143</v>
      </c>
      <c r="B8" s="17">
        <v>0</v>
      </c>
      <c r="C8" s="17"/>
      <c r="D8" s="17"/>
      <c r="E8" s="19"/>
      <c r="F8" s="21"/>
      <c r="G8" s="22"/>
      <c r="H8" s="17"/>
      <c r="I8" s="17"/>
      <c r="J8" s="17"/>
      <c r="K8" s="17"/>
      <c r="L8" s="255"/>
      <c r="M8" s="256"/>
      <c r="N8" s="257"/>
    </row>
    <row r="9" spans="1:14" ht="14">
      <c r="A9" s="18" t="s">
        <v>144</v>
      </c>
      <c r="B9" s="17">
        <v>0</v>
      </c>
      <c r="C9" s="17"/>
      <c r="D9" s="17"/>
      <c r="E9" s="19"/>
      <c r="F9" s="21"/>
      <c r="G9" s="22"/>
      <c r="H9" s="17"/>
      <c r="I9" s="17"/>
      <c r="J9" s="17"/>
      <c r="K9" s="17"/>
      <c r="L9" s="255"/>
      <c r="M9" s="256"/>
      <c r="N9" s="257"/>
    </row>
    <row r="10" spans="1:14" ht="14">
      <c r="A10" s="18" t="s">
        <v>145</v>
      </c>
      <c r="B10" s="17">
        <v>0</v>
      </c>
      <c r="C10" s="17"/>
      <c r="D10" s="17"/>
      <c r="E10" s="19"/>
      <c r="F10" s="21"/>
      <c r="G10" s="22"/>
      <c r="H10" s="17"/>
      <c r="I10" s="17"/>
      <c r="J10" s="17"/>
      <c r="K10" s="17"/>
      <c r="L10" s="255"/>
      <c r="M10" s="256"/>
      <c r="N10" s="257"/>
    </row>
    <row r="11" spans="1:14" ht="14">
      <c r="A11" s="18" t="s">
        <v>146</v>
      </c>
      <c r="B11" s="17">
        <v>0</v>
      </c>
      <c r="C11" s="17"/>
      <c r="D11" s="17"/>
      <c r="E11" s="19"/>
      <c r="F11" s="21"/>
      <c r="G11" s="22"/>
      <c r="H11" s="17"/>
      <c r="I11" s="17"/>
      <c r="J11" s="17"/>
      <c r="K11" s="17"/>
      <c r="L11" s="255"/>
      <c r="M11" s="256"/>
      <c r="N11" s="257"/>
    </row>
    <row r="12" spans="1:14" ht="14">
      <c r="A12" s="18" t="s">
        <v>147</v>
      </c>
      <c r="B12" s="17">
        <v>0</v>
      </c>
      <c r="C12" s="17"/>
      <c r="D12" s="17"/>
      <c r="E12" s="19"/>
      <c r="F12" s="21"/>
      <c r="G12" s="22"/>
      <c r="H12" s="17"/>
      <c r="I12" s="17"/>
      <c r="J12" s="17"/>
      <c r="K12" s="17"/>
      <c r="L12" s="255"/>
      <c r="M12" s="256"/>
      <c r="N12" s="257"/>
    </row>
    <row r="13" spans="1:14" ht="14">
      <c r="A13" s="18" t="s">
        <v>148</v>
      </c>
      <c r="B13" s="17">
        <v>-100</v>
      </c>
      <c r="C13" s="17"/>
      <c r="D13" s="17"/>
      <c r="E13" s="19"/>
      <c r="F13" s="21"/>
      <c r="G13" s="22"/>
      <c r="H13" s="17"/>
      <c r="I13" s="17"/>
      <c r="J13" s="17"/>
      <c r="K13" s="17"/>
      <c r="L13" s="255"/>
      <c r="M13" s="256"/>
      <c r="N13" s="257"/>
    </row>
    <row r="14" spans="1:14" ht="28">
      <c r="A14" s="18" t="s">
        <v>149</v>
      </c>
      <c r="B14" s="17">
        <v>-100</v>
      </c>
      <c r="C14" s="17" t="s">
        <v>150</v>
      </c>
      <c r="D14" s="17">
        <v>574837552</v>
      </c>
      <c r="E14" s="19"/>
      <c r="F14" s="21">
        <v>45261</v>
      </c>
      <c r="G14" s="22"/>
      <c r="H14" s="17" t="s">
        <v>22</v>
      </c>
      <c r="I14" s="17"/>
      <c r="J14" s="17" t="s">
        <v>151</v>
      </c>
      <c r="K14" s="17" t="s">
        <v>151</v>
      </c>
      <c r="L14" s="255">
        <v>2725</v>
      </c>
      <c r="M14" s="256"/>
      <c r="N14" s="257">
        <v>45415</v>
      </c>
    </row>
    <row r="15" spans="1:14" ht="14">
      <c r="A15" s="18" t="s">
        <v>152</v>
      </c>
      <c r="B15" s="17">
        <v>-100</v>
      </c>
      <c r="C15" s="17"/>
      <c r="D15" s="17"/>
      <c r="E15" s="19"/>
      <c r="F15" s="21"/>
      <c r="G15" s="22"/>
      <c r="H15" s="17"/>
      <c r="I15" s="17"/>
      <c r="J15" s="17"/>
      <c r="K15" s="17"/>
      <c r="L15" s="255"/>
      <c r="M15" s="256"/>
      <c r="N15" s="257"/>
    </row>
    <row r="16" spans="1:14" ht="28">
      <c r="A16" s="18" t="s">
        <v>153</v>
      </c>
      <c r="B16" s="17">
        <v>-100</v>
      </c>
      <c r="C16" s="17" t="s">
        <v>370</v>
      </c>
      <c r="D16" s="247" t="s">
        <v>371</v>
      </c>
      <c r="E16" s="248" t="s">
        <v>170</v>
      </c>
      <c r="F16" s="21">
        <v>45597</v>
      </c>
      <c r="G16" s="22">
        <v>45658</v>
      </c>
      <c r="H16" s="17"/>
      <c r="I16" s="17" t="s">
        <v>408</v>
      </c>
      <c r="J16" s="17" t="s">
        <v>151</v>
      </c>
      <c r="K16" s="17" t="s">
        <v>253</v>
      </c>
      <c r="L16" s="383" t="s">
        <v>253</v>
      </c>
      <c r="M16" s="384"/>
      <c r="N16" s="385" t="s">
        <v>253</v>
      </c>
    </row>
    <row r="17" spans="1:14" ht="14">
      <c r="A17" s="18" t="s">
        <v>154</v>
      </c>
      <c r="B17" s="17">
        <v>-100</v>
      </c>
      <c r="C17" s="17"/>
      <c r="D17" s="17"/>
      <c r="E17" s="20"/>
      <c r="F17" s="21"/>
      <c r="G17" s="22"/>
      <c r="H17" s="17"/>
      <c r="I17" s="17"/>
      <c r="J17" s="17"/>
      <c r="K17" s="17"/>
      <c r="L17" s="255"/>
      <c r="M17" s="256"/>
      <c r="N17" s="257"/>
    </row>
    <row r="18" spans="1:14" ht="14">
      <c r="A18" s="18" t="s">
        <v>155</v>
      </c>
      <c r="B18" s="17">
        <v>-100</v>
      </c>
      <c r="C18" s="17"/>
      <c r="D18" s="17"/>
      <c r="E18" s="20"/>
      <c r="F18" s="21"/>
      <c r="G18" s="22"/>
      <c r="H18" s="17"/>
      <c r="I18" s="17"/>
      <c r="J18" s="17"/>
      <c r="K18" s="17"/>
      <c r="L18" s="255"/>
      <c r="M18" s="256"/>
      <c r="N18" s="257"/>
    </row>
    <row r="19" spans="1:14" ht="14">
      <c r="A19" s="18" t="s">
        <v>156</v>
      </c>
      <c r="B19" s="17">
        <v>-100</v>
      </c>
      <c r="C19" s="17"/>
      <c r="D19" s="17"/>
      <c r="E19" s="20"/>
      <c r="F19" s="21"/>
      <c r="G19" s="22"/>
      <c r="H19" s="17"/>
      <c r="I19" s="17"/>
      <c r="J19" s="17"/>
      <c r="K19" s="17"/>
      <c r="L19" s="255"/>
      <c r="M19" s="256"/>
      <c r="N19" s="257"/>
    </row>
    <row r="20" spans="1:14" ht="14">
      <c r="A20" s="18" t="s">
        <v>157</v>
      </c>
      <c r="B20" s="17">
        <v>-100</v>
      </c>
      <c r="C20" s="17"/>
      <c r="D20" s="17"/>
      <c r="E20" s="20"/>
      <c r="F20" s="21"/>
      <c r="G20" s="22"/>
      <c r="H20" s="17"/>
      <c r="I20" s="17"/>
      <c r="J20" s="17"/>
      <c r="K20" s="17"/>
      <c r="L20" s="255"/>
      <c r="M20" s="256"/>
      <c r="N20" s="257"/>
    </row>
    <row r="21" spans="1:14" ht="14">
      <c r="A21" s="18" t="s">
        <v>158</v>
      </c>
      <c r="B21" s="17">
        <v>-100</v>
      </c>
      <c r="C21" s="248" t="s">
        <v>294</v>
      </c>
      <c r="D21" s="17" t="s">
        <v>295</v>
      </c>
      <c r="E21" s="20" t="s">
        <v>170</v>
      </c>
      <c r="F21" s="21">
        <v>45078</v>
      </c>
      <c r="G21" s="22">
        <v>45762</v>
      </c>
      <c r="H21" s="17"/>
      <c r="I21" s="17"/>
      <c r="J21" s="17" t="s">
        <v>283</v>
      </c>
      <c r="K21" s="17"/>
      <c r="L21" s="255"/>
      <c r="M21" s="256"/>
      <c r="N21" s="257"/>
    </row>
    <row r="22" spans="1:14" ht="14">
      <c r="A22" s="18" t="s">
        <v>159</v>
      </c>
      <c r="B22" s="17">
        <v>-100</v>
      </c>
      <c r="C22" s="17"/>
      <c r="D22" s="17"/>
      <c r="E22" s="20"/>
      <c r="F22" s="21"/>
      <c r="G22" s="22"/>
      <c r="H22" s="17"/>
      <c r="I22" s="17"/>
      <c r="J22" s="17"/>
      <c r="K22" s="17"/>
      <c r="L22" s="255"/>
      <c r="M22" s="256"/>
      <c r="N22" s="257"/>
    </row>
    <row r="23" spans="1:14" ht="14">
      <c r="A23" s="18" t="s">
        <v>160</v>
      </c>
      <c r="B23" s="17">
        <v>-100</v>
      </c>
      <c r="C23" s="17"/>
      <c r="D23" s="17"/>
      <c r="E23" s="20"/>
      <c r="F23" s="21"/>
      <c r="G23" s="22"/>
      <c r="H23" s="17"/>
      <c r="I23" s="17"/>
      <c r="J23" s="17"/>
      <c r="K23" s="17"/>
      <c r="L23" s="255"/>
      <c r="M23" s="256"/>
      <c r="N23" s="257"/>
    </row>
    <row r="24" spans="1:14" ht="14">
      <c r="A24" s="23" t="s">
        <v>161</v>
      </c>
      <c r="B24" s="17">
        <v>-200</v>
      </c>
      <c r="C24" s="17"/>
      <c r="D24" s="17"/>
      <c r="E24" s="17"/>
      <c r="F24" s="21"/>
      <c r="G24" s="22"/>
      <c r="H24" s="17"/>
      <c r="I24" s="17"/>
      <c r="J24" s="17"/>
      <c r="K24" s="17"/>
      <c r="L24" s="255"/>
      <c r="M24" s="256"/>
      <c r="N24" s="257"/>
    </row>
    <row r="25" spans="1:14" ht="14">
      <c r="A25" s="23" t="s">
        <v>162</v>
      </c>
      <c r="B25" s="17">
        <v>-200</v>
      </c>
      <c r="C25" s="17"/>
      <c r="D25" s="17"/>
      <c r="E25" s="17"/>
      <c r="F25" s="21"/>
      <c r="G25" s="22"/>
      <c r="H25" s="17"/>
      <c r="I25" s="17"/>
      <c r="J25" s="17"/>
      <c r="K25" s="17"/>
      <c r="L25" s="255"/>
      <c r="M25" s="256"/>
      <c r="N25" s="257"/>
    </row>
    <row r="26" spans="1:14" ht="28">
      <c r="A26" s="23" t="s">
        <v>163</v>
      </c>
      <c r="B26" s="17">
        <v>-200</v>
      </c>
      <c r="C26" s="17" t="s">
        <v>315</v>
      </c>
      <c r="D26" s="249" t="s">
        <v>316</v>
      </c>
      <c r="E26" s="17" t="s">
        <v>139</v>
      </c>
      <c r="F26" s="21">
        <v>45444</v>
      </c>
      <c r="G26" s="22">
        <v>45658</v>
      </c>
      <c r="H26" s="17" t="s">
        <v>341</v>
      </c>
      <c r="I26" s="17" t="s">
        <v>409</v>
      </c>
      <c r="J26" s="17" t="s">
        <v>151</v>
      </c>
      <c r="K26" s="17" t="s">
        <v>151</v>
      </c>
      <c r="L26" s="255">
        <v>3000</v>
      </c>
      <c r="M26" s="256"/>
      <c r="N26" s="257">
        <v>45672</v>
      </c>
    </row>
    <row r="27" spans="1:14" ht="14">
      <c r="A27" s="23" t="s">
        <v>164</v>
      </c>
      <c r="B27" s="17">
        <v>-200</v>
      </c>
      <c r="C27" s="17"/>
      <c r="D27" s="17"/>
      <c r="E27" s="17"/>
      <c r="F27" s="21"/>
      <c r="G27" s="22"/>
      <c r="H27" s="17"/>
      <c r="I27" s="17"/>
      <c r="J27" s="17"/>
      <c r="K27" s="17"/>
      <c r="L27" s="255"/>
      <c r="M27" s="256"/>
      <c r="N27" s="257"/>
    </row>
    <row r="28" spans="1:14" ht="14">
      <c r="A28" s="23" t="s">
        <v>165</v>
      </c>
      <c r="B28" s="17">
        <v>-200</v>
      </c>
      <c r="C28" s="17"/>
      <c r="D28" s="17"/>
      <c r="E28" s="17"/>
      <c r="F28" s="21"/>
      <c r="G28" s="22"/>
      <c r="H28" s="17"/>
      <c r="I28" s="17"/>
      <c r="J28" s="17"/>
      <c r="K28" s="17"/>
      <c r="L28" s="255"/>
      <c r="M28" s="256"/>
      <c r="N28" s="257"/>
    </row>
    <row r="29" spans="1:14" ht="14">
      <c r="A29" s="23" t="s">
        <v>166</v>
      </c>
      <c r="B29" s="17">
        <v>-200</v>
      </c>
      <c r="C29" s="17"/>
      <c r="D29" s="17"/>
      <c r="E29" s="17"/>
      <c r="F29" s="21"/>
      <c r="G29" s="22"/>
      <c r="H29" s="17"/>
      <c r="I29" s="17"/>
      <c r="J29" s="17"/>
      <c r="K29" s="17"/>
      <c r="L29" s="255"/>
      <c r="M29" s="256"/>
      <c r="N29" s="257"/>
    </row>
    <row r="30" spans="1:14" ht="42">
      <c r="A30" s="23" t="s">
        <v>167</v>
      </c>
      <c r="B30" s="17">
        <v>-200</v>
      </c>
      <c r="C30" s="17" t="s">
        <v>168</v>
      </c>
      <c r="D30" s="17" t="s">
        <v>169</v>
      </c>
      <c r="E30" s="17" t="s">
        <v>170</v>
      </c>
      <c r="F30" s="21"/>
      <c r="G30" s="22"/>
      <c r="H30" s="17" t="s">
        <v>140</v>
      </c>
      <c r="I30" s="17"/>
      <c r="J30" s="17" t="s">
        <v>151</v>
      </c>
      <c r="K30" s="17" t="s">
        <v>151</v>
      </c>
      <c r="L30" s="255">
        <v>1500</v>
      </c>
      <c r="M30" s="256"/>
      <c r="N30" s="257">
        <v>45418</v>
      </c>
    </row>
    <row r="31" spans="1:14" ht="14">
      <c r="A31" s="23" t="s">
        <v>171</v>
      </c>
      <c r="B31" s="17">
        <v>-200</v>
      </c>
      <c r="C31" s="17"/>
      <c r="D31" s="17"/>
      <c r="E31" s="17"/>
      <c r="F31" s="21"/>
      <c r="G31" s="22"/>
      <c r="H31" s="17"/>
      <c r="I31" s="17"/>
      <c r="J31" s="17"/>
      <c r="K31" s="17"/>
      <c r="L31" s="255"/>
      <c r="M31" s="256"/>
      <c r="N31" s="257"/>
    </row>
    <row r="32" spans="1:14" ht="42">
      <c r="A32" s="23" t="s">
        <v>172</v>
      </c>
      <c r="B32" s="17">
        <v>-200</v>
      </c>
      <c r="C32" s="20" t="s">
        <v>173</v>
      </c>
      <c r="D32" s="20" t="s">
        <v>174</v>
      </c>
      <c r="E32" s="17" t="s">
        <v>175</v>
      </c>
      <c r="F32" s="21"/>
      <c r="G32" s="22">
        <v>45166</v>
      </c>
      <c r="H32" s="17" t="s">
        <v>140</v>
      </c>
      <c r="I32" s="17" t="s">
        <v>176</v>
      </c>
      <c r="J32" s="17" t="s">
        <v>151</v>
      </c>
      <c r="K32" s="17" t="s">
        <v>151</v>
      </c>
      <c r="L32" s="255">
        <v>1500</v>
      </c>
      <c r="M32" s="256"/>
      <c r="N32" s="257">
        <v>45183</v>
      </c>
    </row>
    <row r="33" spans="1:14" ht="14">
      <c r="A33" s="23" t="s">
        <v>177</v>
      </c>
      <c r="B33" s="17">
        <v>-200</v>
      </c>
      <c r="C33" s="17"/>
      <c r="D33" s="17"/>
      <c r="E33" s="17"/>
      <c r="F33" s="21"/>
      <c r="G33" s="22"/>
      <c r="H33" s="17"/>
      <c r="I33" s="17"/>
      <c r="J33" s="17"/>
      <c r="K33" s="17"/>
      <c r="L33" s="255"/>
      <c r="M33" s="256"/>
      <c r="N33" s="257"/>
    </row>
    <row r="34" spans="1:14" ht="14">
      <c r="A34" s="23" t="s">
        <v>178</v>
      </c>
      <c r="B34" s="17">
        <v>-200</v>
      </c>
      <c r="C34" s="17"/>
      <c r="D34" s="17"/>
      <c r="E34" s="17"/>
      <c r="F34" s="21"/>
      <c r="G34" s="22"/>
      <c r="H34" s="17"/>
      <c r="I34" s="17"/>
      <c r="J34" s="17"/>
      <c r="K34" s="17"/>
      <c r="L34" s="255"/>
      <c r="M34" s="256"/>
      <c r="N34" s="257"/>
    </row>
    <row r="35" spans="1:14" ht="14">
      <c r="A35" s="23" t="s">
        <v>179</v>
      </c>
      <c r="B35" s="17">
        <v>-200</v>
      </c>
      <c r="C35" s="17"/>
      <c r="D35" s="17"/>
      <c r="E35" s="17"/>
      <c r="F35" s="21"/>
      <c r="G35" s="22"/>
      <c r="H35" s="17"/>
      <c r="I35" s="17"/>
      <c r="J35" s="17"/>
      <c r="K35" s="17"/>
      <c r="L35" s="255"/>
      <c r="M35" s="256"/>
      <c r="N35" s="257"/>
    </row>
    <row r="36" spans="1:14" ht="14">
      <c r="A36" s="23" t="s">
        <v>180</v>
      </c>
      <c r="B36" s="17">
        <v>-300</v>
      </c>
      <c r="C36" s="17"/>
      <c r="D36" s="17"/>
      <c r="E36" s="17"/>
      <c r="F36" s="21"/>
      <c r="G36" s="22"/>
      <c r="H36" s="17"/>
      <c r="I36" s="17"/>
      <c r="J36" s="17"/>
      <c r="K36" s="17"/>
      <c r="L36" s="255"/>
      <c r="M36" s="256"/>
      <c r="N36" s="257"/>
    </row>
    <row r="37" spans="1:14" ht="14">
      <c r="A37" s="23" t="s">
        <v>181</v>
      </c>
      <c r="B37" s="17">
        <v>-300</v>
      </c>
      <c r="C37" s="17"/>
      <c r="D37" s="17"/>
      <c r="E37" s="17"/>
      <c r="F37" s="21"/>
      <c r="G37" s="22"/>
      <c r="H37" s="17"/>
      <c r="I37" s="17"/>
      <c r="J37" s="17"/>
      <c r="K37" s="17"/>
      <c r="L37" s="255"/>
      <c r="M37" s="256"/>
      <c r="N37" s="257"/>
    </row>
    <row r="38" spans="1:14" ht="14">
      <c r="A38" s="23" t="s">
        <v>182</v>
      </c>
      <c r="B38" s="17">
        <v>-300</v>
      </c>
      <c r="C38" s="17"/>
      <c r="D38" s="17"/>
      <c r="E38" s="17"/>
      <c r="F38" s="21"/>
      <c r="G38" s="22"/>
      <c r="H38" s="17"/>
      <c r="I38" s="17"/>
      <c r="J38" s="17"/>
      <c r="K38" s="17"/>
      <c r="L38" s="255"/>
      <c r="M38" s="256"/>
      <c r="N38" s="257"/>
    </row>
    <row r="39" spans="1:14" ht="14">
      <c r="A39" s="23" t="s">
        <v>183</v>
      </c>
      <c r="B39" s="17">
        <v>-300</v>
      </c>
      <c r="C39" s="17"/>
      <c r="D39" s="17"/>
      <c r="E39" s="17"/>
      <c r="F39" s="21"/>
      <c r="G39" s="22"/>
      <c r="H39" s="17"/>
      <c r="I39" s="17"/>
      <c r="J39" s="17"/>
      <c r="K39" s="17"/>
      <c r="L39" s="255"/>
      <c r="M39" s="256"/>
      <c r="N39" s="257"/>
    </row>
    <row r="40" spans="1:14" ht="14">
      <c r="A40" s="23" t="s">
        <v>184</v>
      </c>
      <c r="B40" s="17">
        <v>-300</v>
      </c>
      <c r="C40" s="17"/>
      <c r="D40" s="17"/>
      <c r="E40" s="17"/>
      <c r="F40" s="21"/>
      <c r="G40" s="22"/>
      <c r="H40" s="17"/>
      <c r="I40" s="17"/>
      <c r="J40" s="17"/>
      <c r="K40" s="17"/>
      <c r="L40" s="255"/>
      <c r="M40" s="256"/>
      <c r="N40" s="257"/>
    </row>
    <row r="41" spans="1:14" ht="14">
      <c r="A41" s="23" t="s">
        <v>185</v>
      </c>
      <c r="B41" s="17">
        <v>-300</v>
      </c>
      <c r="C41" s="17"/>
      <c r="D41" s="17"/>
      <c r="E41" s="17"/>
      <c r="F41" s="21"/>
      <c r="G41" s="22"/>
      <c r="H41" s="17"/>
      <c r="I41" s="17"/>
      <c r="J41" s="17"/>
      <c r="K41" s="17"/>
      <c r="L41" s="255"/>
      <c r="M41" s="256"/>
      <c r="N41" s="257"/>
    </row>
    <row r="42" spans="1:14" ht="14">
      <c r="A42" s="23" t="s">
        <v>186</v>
      </c>
      <c r="B42" s="17">
        <v>-300</v>
      </c>
      <c r="C42" s="17" t="s">
        <v>511</v>
      </c>
      <c r="D42" s="17"/>
      <c r="E42" s="17" t="s">
        <v>516</v>
      </c>
      <c r="F42" s="21"/>
      <c r="G42" s="22" t="s">
        <v>517</v>
      </c>
      <c r="H42" s="17"/>
      <c r="I42" s="17"/>
      <c r="J42" s="17"/>
      <c r="K42" s="17"/>
      <c r="L42" s="255"/>
      <c r="M42" s="256"/>
      <c r="N42" s="257"/>
    </row>
    <row r="43" spans="1:14" ht="14">
      <c r="A43" s="23" t="s">
        <v>187</v>
      </c>
      <c r="B43" s="17">
        <v>-300</v>
      </c>
      <c r="C43" s="17"/>
      <c r="D43" s="17"/>
      <c r="E43" s="17"/>
      <c r="F43" s="21"/>
      <c r="G43" s="22"/>
      <c r="H43" s="17"/>
      <c r="I43" s="17"/>
      <c r="J43" s="17"/>
      <c r="K43" s="17"/>
      <c r="L43" s="255"/>
      <c r="M43" s="256"/>
      <c r="N43" s="257"/>
    </row>
    <row r="44" spans="1:14" ht="14">
      <c r="A44" s="23" t="s">
        <v>188</v>
      </c>
      <c r="B44" s="17">
        <v>-300</v>
      </c>
      <c r="C44" s="17"/>
      <c r="D44" s="17"/>
      <c r="E44" s="17"/>
      <c r="F44" s="21"/>
      <c r="G44" s="22"/>
      <c r="H44" s="17"/>
      <c r="I44" s="17"/>
      <c r="J44" s="17"/>
      <c r="K44" s="17"/>
      <c r="L44" s="255"/>
      <c r="M44" s="256"/>
      <c r="N44" s="257"/>
    </row>
    <row r="45" spans="1:14" ht="14">
      <c r="A45" s="23" t="s">
        <v>189</v>
      </c>
      <c r="B45" s="17">
        <v>-300</v>
      </c>
      <c r="C45" s="17"/>
      <c r="D45" s="17"/>
      <c r="E45" s="17"/>
      <c r="F45" s="21"/>
      <c r="G45" s="22"/>
      <c r="H45" s="17"/>
      <c r="I45" s="17"/>
      <c r="J45" s="17"/>
      <c r="K45" s="17"/>
      <c r="L45" s="255"/>
      <c r="M45" s="256"/>
      <c r="N45" s="257"/>
    </row>
    <row r="46" spans="1:14" ht="14">
      <c r="A46" s="23" t="s">
        <v>190</v>
      </c>
      <c r="B46" s="17">
        <v>-300</v>
      </c>
      <c r="C46" s="17"/>
      <c r="D46" s="17"/>
      <c r="E46" s="17"/>
      <c r="F46" s="21"/>
      <c r="G46" s="22"/>
      <c r="H46" s="17"/>
      <c r="I46" s="17"/>
      <c r="J46" s="17"/>
      <c r="K46" s="17"/>
      <c r="L46" s="255"/>
      <c r="M46" s="256"/>
      <c r="N46" s="257"/>
    </row>
    <row r="47" spans="1:14" ht="14">
      <c r="A47" s="23" t="s">
        <v>191</v>
      </c>
      <c r="B47" s="17">
        <v>-300</v>
      </c>
      <c r="C47" s="17"/>
      <c r="D47" s="17"/>
      <c r="E47" s="17"/>
      <c r="F47" s="21"/>
      <c r="G47" s="22"/>
      <c r="H47" s="17"/>
      <c r="I47" s="17"/>
      <c r="J47" s="17"/>
      <c r="K47" s="17"/>
      <c r="L47" s="255"/>
      <c r="M47" s="256"/>
      <c r="N47" s="257"/>
    </row>
    <row r="48" spans="1:14" ht="42">
      <c r="A48" s="18" t="s">
        <v>192</v>
      </c>
      <c r="B48" s="17">
        <v>-400</v>
      </c>
      <c r="C48" s="248" t="s">
        <v>317</v>
      </c>
      <c r="D48" s="243" t="s">
        <v>318</v>
      </c>
      <c r="E48" s="17" t="s">
        <v>170</v>
      </c>
      <c r="F48" s="408">
        <v>45444</v>
      </c>
      <c r="G48" s="22">
        <v>45505</v>
      </c>
      <c r="H48" s="17" t="s">
        <v>140</v>
      </c>
      <c r="I48" s="17" t="s">
        <v>344</v>
      </c>
      <c r="J48" s="17" t="s">
        <v>151</v>
      </c>
      <c r="K48" s="17" t="s">
        <v>151</v>
      </c>
      <c r="L48" s="255">
        <v>486.63</v>
      </c>
      <c r="M48" s="259">
        <v>3489020</v>
      </c>
      <c r="N48" s="257">
        <v>45530</v>
      </c>
    </row>
    <row r="49" spans="1:14" ht="14">
      <c r="A49" s="18" t="s">
        <v>192</v>
      </c>
      <c r="B49" s="17">
        <v>-400</v>
      </c>
      <c r="C49" s="243" t="s">
        <v>353</v>
      </c>
      <c r="D49" s="250" t="s">
        <v>357</v>
      </c>
      <c r="E49" s="20" t="s">
        <v>170</v>
      </c>
      <c r="F49" s="409">
        <v>45566</v>
      </c>
      <c r="G49" s="22">
        <v>45620</v>
      </c>
      <c r="H49" s="17" t="s">
        <v>140</v>
      </c>
      <c r="I49" s="17"/>
      <c r="J49" s="17" t="s">
        <v>151</v>
      </c>
      <c r="K49" s="17" t="s">
        <v>151</v>
      </c>
      <c r="L49" s="255">
        <v>2919.85</v>
      </c>
      <c r="M49" s="411"/>
      <c r="N49" s="257">
        <v>45649</v>
      </c>
    </row>
    <row r="50" spans="1:14" ht="28">
      <c r="A50" s="18" t="s">
        <v>193</v>
      </c>
      <c r="B50" s="17">
        <v>-400</v>
      </c>
      <c r="C50" s="17" t="s">
        <v>471</v>
      </c>
      <c r="D50" s="17" t="s">
        <v>467</v>
      </c>
      <c r="E50" s="20" t="s">
        <v>170</v>
      </c>
      <c r="F50" s="21">
        <v>45827</v>
      </c>
      <c r="G50" s="22">
        <v>45867</v>
      </c>
      <c r="H50" s="17" t="s">
        <v>470</v>
      </c>
      <c r="I50" s="17"/>
      <c r="J50" s="17"/>
      <c r="K50" s="17"/>
      <c r="L50" s="255"/>
      <c r="M50" s="256"/>
      <c r="N50" s="257"/>
    </row>
    <row r="51" spans="1:14" ht="14">
      <c r="A51" s="18" t="s">
        <v>194</v>
      </c>
      <c r="B51" s="17">
        <v>-400</v>
      </c>
      <c r="C51" s="17"/>
      <c r="D51" s="17"/>
      <c r="E51" s="20"/>
      <c r="F51" s="21"/>
      <c r="G51" s="22"/>
      <c r="H51" s="17"/>
      <c r="I51" s="17"/>
      <c r="J51" s="17"/>
      <c r="K51" s="17"/>
      <c r="L51" s="255"/>
      <c r="M51" s="256"/>
      <c r="N51" s="257"/>
    </row>
    <row r="52" spans="1:14" ht="14">
      <c r="A52" s="18" t="s">
        <v>195</v>
      </c>
      <c r="B52" s="17">
        <v>-400</v>
      </c>
      <c r="C52" s="17"/>
      <c r="D52" s="17"/>
      <c r="E52" s="20"/>
      <c r="F52" s="21"/>
      <c r="G52" s="22"/>
      <c r="H52" s="17"/>
      <c r="I52" s="17"/>
      <c r="J52" s="17"/>
      <c r="K52" s="17"/>
      <c r="L52" s="255"/>
      <c r="M52" s="256"/>
      <c r="N52" s="257"/>
    </row>
    <row r="53" spans="1:14" ht="14">
      <c r="A53" s="18" t="s">
        <v>196</v>
      </c>
      <c r="B53" s="17">
        <v>-400</v>
      </c>
      <c r="C53" s="17"/>
      <c r="D53" s="17"/>
      <c r="E53" s="20"/>
      <c r="F53" s="21"/>
      <c r="G53" s="22"/>
      <c r="H53" s="17"/>
      <c r="I53" s="17"/>
      <c r="J53" s="17"/>
      <c r="K53" s="17"/>
      <c r="L53" s="255"/>
      <c r="M53" s="256"/>
      <c r="N53" s="257"/>
    </row>
    <row r="54" spans="1:14" ht="14">
      <c r="A54" s="18" t="s">
        <v>197</v>
      </c>
      <c r="B54" s="17">
        <v>-400</v>
      </c>
      <c r="C54" s="17"/>
      <c r="D54" s="17"/>
      <c r="E54" s="20"/>
      <c r="F54" s="21"/>
      <c r="G54" s="22"/>
      <c r="H54" s="17"/>
      <c r="I54" s="17"/>
      <c r="J54" s="17"/>
      <c r="K54" s="17"/>
      <c r="L54" s="255"/>
      <c r="M54" s="256"/>
      <c r="N54" s="257"/>
    </row>
    <row r="55" spans="1:14" ht="14">
      <c r="A55" s="18" t="s">
        <v>198</v>
      </c>
      <c r="B55" s="17">
        <v>-400</v>
      </c>
      <c r="C55" s="17"/>
      <c r="D55" s="17"/>
      <c r="E55" s="20"/>
      <c r="F55" s="21"/>
      <c r="G55" s="22"/>
      <c r="H55" s="17"/>
      <c r="I55" s="17"/>
      <c r="J55" s="17"/>
      <c r="K55" s="17"/>
      <c r="L55" s="255"/>
      <c r="M55" s="256"/>
      <c r="N55" s="257"/>
    </row>
    <row r="56" spans="1:14" ht="14">
      <c r="A56" s="18" t="s">
        <v>199</v>
      </c>
      <c r="B56" s="17">
        <v>-400</v>
      </c>
      <c r="C56" s="17"/>
      <c r="D56" s="17"/>
      <c r="E56" s="20"/>
      <c r="F56" s="21"/>
      <c r="G56" s="22"/>
      <c r="H56" s="17"/>
      <c r="I56" s="17"/>
      <c r="J56" s="17"/>
      <c r="K56" s="17"/>
      <c r="L56" s="255"/>
      <c r="M56" s="256"/>
      <c r="N56" s="257"/>
    </row>
    <row r="57" spans="1:14" ht="14">
      <c r="A57" s="18" t="s">
        <v>200</v>
      </c>
      <c r="B57" s="17">
        <v>-400</v>
      </c>
      <c r="C57" s="17"/>
      <c r="D57" s="17"/>
      <c r="E57" s="20"/>
      <c r="F57" s="21"/>
      <c r="G57" s="22"/>
      <c r="H57" s="17"/>
      <c r="I57" s="17"/>
      <c r="J57" s="17"/>
      <c r="K57" s="17"/>
      <c r="L57" s="255"/>
      <c r="M57" s="256"/>
      <c r="N57" s="257"/>
    </row>
    <row r="58" spans="1:14" ht="14">
      <c r="A58" s="18" t="s">
        <v>201</v>
      </c>
      <c r="B58" s="17">
        <v>-400</v>
      </c>
      <c r="C58" s="17"/>
      <c r="D58" s="17"/>
      <c r="E58" s="20"/>
      <c r="F58" s="21"/>
      <c r="G58" s="22"/>
      <c r="H58" s="17"/>
      <c r="I58" s="17"/>
      <c r="J58" s="17"/>
      <c r="K58" s="17"/>
      <c r="L58" s="255"/>
      <c r="M58" s="256"/>
      <c r="N58" s="257"/>
    </row>
    <row r="59" spans="1:14" ht="14">
      <c r="A59" s="18" t="s">
        <v>202</v>
      </c>
      <c r="B59" s="17">
        <v>-400</v>
      </c>
      <c r="C59" s="17"/>
      <c r="D59" s="17"/>
      <c r="E59" s="20"/>
      <c r="F59" s="20"/>
      <c r="G59" s="17"/>
      <c r="H59" s="17"/>
      <c r="I59" s="17"/>
      <c r="J59" s="17"/>
      <c r="K59" s="17"/>
      <c r="L59" s="255"/>
      <c r="M59" s="256"/>
      <c r="N59" s="257"/>
    </row>
  </sheetData>
  <autoFilter ref="A1:N59" xr:uid="{6921299E-056A-6F47-8DB7-584AD0821CF1}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0A5B-6E1B-594A-A762-A509360369B1}">
  <dimension ref="A1:J46"/>
  <sheetViews>
    <sheetView zoomScaleNormal="110" workbookViewId="0">
      <selection activeCell="F18" sqref="F18"/>
    </sheetView>
  </sheetViews>
  <sheetFormatPr baseColWidth="10" defaultRowHeight="16"/>
  <cols>
    <col min="1" max="1" width="24.33203125" bestFit="1" customWidth="1"/>
    <col min="2" max="2" width="27.83203125" bestFit="1" customWidth="1"/>
    <col min="3" max="8" width="15.83203125" customWidth="1"/>
    <col min="9" max="9" width="10.83203125" customWidth="1"/>
    <col min="10" max="10" width="15" customWidth="1"/>
  </cols>
  <sheetData>
    <row r="1" spans="2:10" ht="20" customHeight="1">
      <c r="B1" s="326"/>
      <c r="C1" s="329" t="s">
        <v>385</v>
      </c>
      <c r="D1" s="329">
        <v>-100</v>
      </c>
      <c r="E1" s="329">
        <v>-200</v>
      </c>
      <c r="F1" s="329">
        <v>-300</v>
      </c>
      <c r="G1" s="329">
        <v>-400</v>
      </c>
      <c r="H1" s="330" t="s">
        <v>438</v>
      </c>
      <c r="J1" s="336" t="s">
        <v>441</v>
      </c>
    </row>
    <row r="2" spans="2:10" ht="20" customHeight="1">
      <c r="B2" s="332" t="s">
        <v>439</v>
      </c>
      <c r="C2" s="327">
        <f>COUNTIFS(Tabla4[NIVEL],'GRAFICAS INFORMES'!C$1,Tabla4[RESERVADAS, VENDIDAS],'GRAFICAS INFORMES'!$B2)</f>
        <v>0</v>
      </c>
      <c r="D2" s="327">
        <f>COUNTIFS(Tabla4[NIVEL],'GRAFICAS INFORMES'!D$1,Tabla4[RESERVADAS, VENDIDAS],'GRAFICAS INFORMES'!$B2)</f>
        <v>0</v>
      </c>
      <c r="E2" s="327">
        <f>COUNTIFS(Tabla4[NIVEL],'GRAFICAS INFORMES'!E$1,Tabla4[RESERVADAS, VENDIDAS],'GRAFICAS INFORMES'!$B2)</f>
        <v>1</v>
      </c>
      <c r="F2" s="327">
        <f>COUNTIFS(Tabla4[NIVEL],'GRAFICAS INFORMES'!F$1,Tabla4[RESERVADAS, VENDIDAS],'GRAFICAS INFORMES'!$B2)</f>
        <v>1</v>
      </c>
      <c r="G2" s="327">
        <f>COUNTIFS(Tabla4[NIVEL],'GRAFICAS INFORMES'!G$1,Tabla4[RESERVADAS, VENDIDAS],'GRAFICAS INFORMES'!$B2)</f>
        <v>3</v>
      </c>
      <c r="H2" s="334">
        <f>SUM(C2:G2)</f>
        <v>5</v>
      </c>
      <c r="J2" s="337">
        <f>SUMIF(Tabla4[ESTATUS],"CON CLIENTE",Tabla4[VALOR TOTAL])+SUMIF(Tabla4[ESTATUS],"PDTE ESCRITURACION",Tabla4[VALOR TOTAL])+SUMIF(Tabla4[ESTATUS],"INSCRITO Y DESEMBOLSADO",Tabla4[VALOR TOTAL])</f>
        <v>9982476.2300000004</v>
      </c>
    </row>
    <row r="3" spans="2:10" ht="20" customHeight="1">
      <c r="B3" s="332" t="s">
        <v>440</v>
      </c>
      <c r="C3" s="327">
        <f>COUNTIFS(Tabla4[NIVEL],'GRAFICAS INFORMES'!C$1,Tabla4[RESERVADAS, VENDIDAS],'GRAFICAS INFORMES'!$B3)</f>
        <v>0</v>
      </c>
      <c r="D3" s="327">
        <f>COUNTIFS(Tabla4[NIVEL],'GRAFICAS INFORMES'!D$1,Tabla4[RESERVADAS, VENDIDAS],'GRAFICAS INFORMES'!$B3)</f>
        <v>0</v>
      </c>
      <c r="E3" s="327">
        <f>COUNTIFS(Tabla4[NIVEL],'GRAFICAS INFORMES'!E$1,Tabla4[RESERVADAS, VENDIDAS],'GRAFICAS INFORMES'!$B3)</f>
        <v>1</v>
      </c>
      <c r="F3" s="327">
        <f>COUNTIFS(Tabla4[NIVEL],'GRAFICAS INFORMES'!F$1,Tabla4[RESERVADAS, VENDIDAS],'GRAFICAS INFORMES'!$B3)</f>
        <v>0</v>
      </c>
      <c r="G3" s="327">
        <f>COUNTIFS(Tabla4[NIVEL],'GRAFICAS INFORMES'!G$1,Tabla4[RESERVADAS, VENDIDAS],'GRAFICAS INFORMES'!$B3)</f>
        <v>0</v>
      </c>
      <c r="H3" s="334">
        <f>SUM(C3:G3)</f>
        <v>1</v>
      </c>
      <c r="J3" s="336"/>
    </row>
    <row r="4" spans="2:10" ht="20" customHeight="1">
      <c r="B4" s="332" t="s">
        <v>327</v>
      </c>
      <c r="C4" s="327">
        <f>COUNTIFS(Tabla4[NIVEL],'GRAFICAS INFORMES'!C$1,Tabla4[RESERVADAS, VENDIDAS],'GRAFICAS INFORMES'!$B4)</f>
        <v>11</v>
      </c>
      <c r="D4" s="327">
        <f>COUNTIFS(Tabla4[NIVEL],'GRAFICAS INFORMES'!D$1,Tabla4[RESERVADAS, VENDIDAS],'GRAFICAS INFORMES'!$B4)</f>
        <v>11</v>
      </c>
      <c r="E4" s="327">
        <f>COUNTIFS(Tabla4[NIVEL],'GRAFICAS INFORMES'!E$1,Tabla4[RESERVADAS, VENDIDAS],'GRAFICAS INFORMES'!$B4)</f>
        <v>10</v>
      </c>
      <c r="F4" s="327">
        <f>COUNTIFS(Tabla4[NIVEL],'GRAFICAS INFORMES'!F$1,Tabla4[RESERVADAS, VENDIDAS],'GRAFICAS INFORMES'!$B4)</f>
        <v>11</v>
      </c>
      <c r="G4" s="327">
        <f>COUNTIFS(Tabla4[NIVEL],'GRAFICAS INFORMES'!G$1,Tabla4[RESERVADAS, VENDIDAS],'GRAFICAS INFORMES'!$B4)</f>
        <v>8</v>
      </c>
      <c r="H4" s="334">
        <f>SUM(C4:G4)</f>
        <v>51</v>
      </c>
      <c r="J4" s="336" t="s">
        <v>442</v>
      </c>
    </row>
    <row r="5" spans="2:10" ht="20" customHeight="1">
      <c r="B5" s="332" t="s">
        <v>438</v>
      </c>
      <c r="C5" s="333">
        <f>SUM(C2:C4)</f>
        <v>11</v>
      </c>
      <c r="D5" s="333">
        <f>SUM(D2:D4)</f>
        <v>11</v>
      </c>
      <c r="E5" s="333">
        <f>SUM(E2:E4)</f>
        <v>12</v>
      </c>
      <c r="F5" s="333">
        <f>SUM(F2:F4)</f>
        <v>12</v>
      </c>
      <c r="G5" s="333">
        <f>SUM(G2:G4)</f>
        <v>11</v>
      </c>
      <c r="H5" s="334">
        <f>SUM(C5:G5)</f>
        <v>57</v>
      </c>
      <c r="J5" s="336">
        <f>H3+H4</f>
        <v>52</v>
      </c>
    </row>
    <row r="6" spans="2:10">
      <c r="C6" s="335">
        <f t="shared" ref="C6:H6" si="0">(C3+C4)/C5</f>
        <v>1</v>
      </c>
      <c r="D6" s="335">
        <f t="shared" si="0"/>
        <v>1</v>
      </c>
      <c r="E6" s="335">
        <f t="shared" si="0"/>
        <v>0.91666666666666663</v>
      </c>
      <c r="F6" s="335">
        <f t="shared" si="0"/>
        <v>0.91666666666666663</v>
      </c>
      <c r="G6" s="335">
        <f t="shared" si="0"/>
        <v>0.72727272727272729</v>
      </c>
      <c r="H6" s="335">
        <f t="shared" si="0"/>
        <v>0.91228070175438591</v>
      </c>
    </row>
    <row r="7" spans="2:10">
      <c r="C7" s="335"/>
      <c r="D7" s="335"/>
      <c r="E7" s="335"/>
      <c r="F7" s="335"/>
      <c r="G7" s="335"/>
      <c r="H7" s="335"/>
    </row>
    <row r="10" spans="2:10" ht="20" customHeight="1">
      <c r="B10" s="339"/>
      <c r="C10" s="339"/>
      <c r="D10" s="339"/>
      <c r="E10" s="340" t="s">
        <v>250</v>
      </c>
      <c r="F10" s="340" t="s">
        <v>257</v>
      </c>
    </row>
    <row r="11" spans="2:10" s="326" customFormat="1" ht="20" customHeight="1">
      <c r="B11" s="326" t="s">
        <v>321</v>
      </c>
      <c r="C11" s="327">
        <f>COUNTIF(Tabla4[CLASIFCACIÓN],'GRAFICAS INFORMES'!B11)</f>
        <v>21</v>
      </c>
      <c r="D11" s="338">
        <f>C11/$C$14</f>
        <v>0.41176470588235292</v>
      </c>
      <c r="E11" s="327">
        <f>COUNTIFS(Tabla4[CLASIFCACIÓN],'GRAFICAS INFORMES'!$B11,Tabla4[FORMA DE PAGO],'GRAFICAS INFORMES'!E$10)</f>
        <v>7</v>
      </c>
      <c r="F11" s="327">
        <f>COUNTIFS(Tabla4[CLASIFCACIÓN],'GRAFICAS INFORMES'!$B11,Tabla4[FORMA DE PAGO],'GRAFICAS INFORMES'!F$10)</f>
        <v>12</v>
      </c>
    </row>
    <row r="12" spans="2:10" s="326" customFormat="1" ht="20" customHeight="1">
      <c r="B12" s="326" t="s">
        <v>322</v>
      </c>
      <c r="C12" s="327">
        <f>COUNTIF(Tabla4[CLASIFCACIÓN],'GRAFICAS INFORMES'!B12)</f>
        <v>6</v>
      </c>
      <c r="D12" s="338">
        <f>C12/$C$14</f>
        <v>0.11764705882352941</v>
      </c>
      <c r="E12" s="327">
        <f>COUNTIFS(Tabla4[CLASIFCACIÓN],'GRAFICAS INFORMES'!$B12,Tabla4[FORMA DE PAGO],'GRAFICAS INFORMES'!E$10)</f>
        <v>5</v>
      </c>
      <c r="F12" s="327">
        <f>COUNTIFS(Tabla4[CLASIFCACIÓN],'GRAFICAS INFORMES'!$B12,Tabla4[FORMA DE PAGO],'GRAFICAS INFORMES'!F$10)</f>
        <v>1</v>
      </c>
    </row>
    <row r="13" spans="2:10" s="326" customFormat="1" ht="20" customHeight="1">
      <c r="B13" s="326" t="s">
        <v>320</v>
      </c>
      <c r="C13" s="327">
        <f>COUNTIF(Tabla4[CLASIFCACIÓN],'GRAFICAS INFORMES'!B13)</f>
        <v>24</v>
      </c>
      <c r="D13" s="338">
        <f>C13/$C$14</f>
        <v>0.47058823529411764</v>
      </c>
      <c r="E13" s="327">
        <f>COUNTIFS(Tabla4[CLASIFCACIÓN],'GRAFICAS INFORMES'!$B13,Tabla4[FORMA DE PAGO],'GRAFICAS INFORMES'!E$10)</f>
        <v>21</v>
      </c>
      <c r="F13" s="327">
        <f>COUNTIFS(Tabla4[CLASIFCACIÓN],'GRAFICAS INFORMES'!$B13,Tabla4[FORMA DE PAGO],'GRAFICAS INFORMES'!F$10)</f>
        <v>3</v>
      </c>
    </row>
    <row r="14" spans="2:10" ht="20" customHeight="1">
      <c r="B14" s="331" t="s">
        <v>91</v>
      </c>
      <c r="C14" s="328">
        <f>SUM(C11:C13)</f>
        <v>51</v>
      </c>
      <c r="D14" s="341">
        <f>C14/$C$14</f>
        <v>1</v>
      </c>
      <c r="E14" s="328">
        <f>SUM(E11:E13)</f>
        <v>33</v>
      </c>
      <c r="F14" s="328">
        <f>SUM(F11:F13)</f>
        <v>16</v>
      </c>
    </row>
    <row r="18" spans="1:5" ht="32" customHeight="1">
      <c r="B18" s="343" t="s">
        <v>443</v>
      </c>
      <c r="C18" s="343" t="s">
        <v>441</v>
      </c>
      <c r="D18" s="343" t="s">
        <v>444</v>
      </c>
      <c r="E18" s="343" t="s">
        <v>91</v>
      </c>
    </row>
    <row r="19" spans="1:5">
      <c r="B19" s="24">
        <v>2023</v>
      </c>
      <c r="C19" s="24">
        <f>COUNTIFS(Tabla4[FECHA DE RESERVA],"&gt;=1/1/2023",Tabla4[FECHA DE RESERVA],"&lt;=12/31/2023")</f>
        <v>16</v>
      </c>
      <c r="D19" s="24">
        <f>COUNTIFS(DESISTIDOS!$N$2:$N$59,"&gt;=1/1/2023",DESISTIDOS!$N$2:$N$59,"&lt;=12/31/2023")</f>
        <v>2</v>
      </c>
      <c r="E19" s="342">
        <f>SUM(C19:D19)</f>
        <v>18</v>
      </c>
    </row>
    <row r="20" spans="1:5">
      <c r="B20" s="24">
        <v>2024</v>
      </c>
      <c r="C20" s="24">
        <f>COUNTIFS(Tabla4[FECHA DE RESERVA],"&gt;=1/1/2024",Tabla4[FECHA DE RESERVA],"&lt;=12/31/2024")</f>
        <v>15</v>
      </c>
      <c r="D20" s="24">
        <f>COUNTIFS(DESISTIDOS!$N$2:$N$59,"&gt;=1/1/2024",DESISTIDOS!$N$2:$N$59,"&lt;=12/31/2024")</f>
        <v>5</v>
      </c>
      <c r="E20" s="342">
        <f t="shared" ref="E20:E22" si="1">SUM(C20:D20)</f>
        <v>20</v>
      </c>
    </row>
    <row r="21" spans="1:5">
      <c r="B21" s="24">
        <v>2025</v>
      </c>
      <c r="C21" s="24">
        <f>COUNTIFS(Tabla4[FECHA DE RESERVA],"&gt;=1/1/2025",Tabla4[FECHA DE RESERVA],"&lt;=12/31/2025")</f>
        <v>15</v>
      </c>
      <c r="D21" s="24">
        <f>COUNTIFS(DESISTIDOS!$N$2:$N$59,"&gt;=1/1/2025",DESISTIDOS!$N$2:$N$59,"&lt;=12/31/2025")</f>
        <v>1</v>
      </c>
      <c r="E21" s="342">
        <f t="shared" si="1"/>
        <v>16</v>
      </c>
    </row>
    <row r="22" spans="1:5">
      <c r="B22" s="24">
        <v>2026</v>
      </c>
      <c r="C22" s="24">
        <f>COUNTIFS(Tabla4[FECHA DE RESERVA],"&gt;=1/1/2026",Tabla4[FECHA DE RESERVA],"&lt;=12/31/2026")</f>
        <v>6</v>
      </c>
      <c r="D22" s="24">
        <f>COUNTIFS(DESISTIDOS!$N$2:$N$59,"&gt;=1/1/2026",DESISTIDOS!$N$2:$N$59,"&lt;=12/31/2026")</f>
        <v>0</v>
      </c>
      <c r="E22" s="342">
        <f t="shared" si="1"/>
        <v>6</v>
      </c>
    </row>
    <row r="23" spans="1:5">
      <c r="B23" s="342" t="s">
        <v>91</v>
      </c>
      <c r="C23" s="342">
        <f>SUM(C19:C22)</f>
        <v>52</v>
      </c>
      <c r="D23" s="342">
        <f>SUM(D19:D22)</f>
        <v>8</v>
      </c>
      <c r="E23" s="342">
        <f>SUM(E19:E22)</f>
        <v>60</v>
      </c>
    </row>
    <row r="27" spans="1:5">
      <c r="A27" s="27" t="s">
        <v>325</v>
      </c>
      <c r="B27" t="s">
        <v>460</v>
      </c>
    </row>
    <row r="28" spans="1:5">
      <c r="A28" s="28" t="s">
        <v>258</v>
      </c>
      <c r="B28">
        <v>17</v>
      </c>
    </row>
    <row r="29" spans="1:5">
      <c r="A29" s="28" t="s">
        <v>251</v>
      </c>
      <c r="B29">
        <v>28</v>
      </c>
    </row>
    <row r="30" spans="1:5">
      <c r="A30" s="28" t="s">
        <v>312</v>
      </c>
      <c r="B30">
        <v>3</v>
      </c>
    </row>
    <row r="31" spans="1:5">
      <c r="A31" s="28" t="s">
        <v>336</v>
      </c>
    </row>
    <row r="32" spans="1:5">
      <c r="A32" s="28" t="s">
        <v>326</v>
      </c>
      <c r="B32">
        <v>48</v>
      </c>
    </row>
    <row r="37" spans="1:2">
      <c r="A37" s="27" t="s">
        <v>325</v>
      </c>
      <c r="B37" t="s">
        <v>490</v>
      </c>
    </row>
    <row r="38" spans="1:2">
      <c r="A38" s="28" t="s">
        <v>355</v>
      </c>
      <c r="B38">
        <v>1</v>
      </c>
    </row>
    <row r="39" spans="1:2">
      <c r="A39" s="28" t="s">
        <v>249</v>
      </c>
      <c r="B39">
        <v>7</v>
      </c>
    </row>
    <row r="40" spans="1:2">
      <c r="A40" s="28" t="s">
        <v>264</v>
      </c>
      <c r="B40">
        <v>3</v>
      </c>
    </row>
    <row r="41" spans="1:2">
      <c r="A41" s="28" t="s">
        <v>139</v>
      </c>
      <c r="B41">
        <v>16</v>
      </c>
    </row>
    <row r="42" spans="1:2">
      <c r="A42" s="28" t="s">
        <v>265</v>
      </c>
      <c r="B42">
        <v>1</v>
      </c>
    </row>
    <row r="43" spans="1:2">
      <c r="A43" s="28" t="s">
        <v>170</v>
      </c>
      <c r="B43">
        <v>19</v>
      </c>
    </row>
    <row r="44" spans="1:2">
      <c r="A44" s="28" t="s">
        <v>462</v>
      </c>
      <c r="B44">
        <v>1</v>
      </c>
    </row>
    <row r="45" spans="1:2">
      <c r="A45" s="28" t="s">
        <v>336</v>
      </c>
    </row>
    <row r="46" spans="1:2">
      <c r="A46" s="28" t="s">
        <v>326</v>
      </c>
      <c r="B46">
        <v>48</v>
      </c>
    </row>
  </sheetData>
  <pageMargins left="0.7" right="0.7" top="0.75" bottom="0.75" header="0.3" footer="0.3"/>
  <pageSetup orientation="portrait" horizontalDpi="0" verticalDpi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 PRECIOS</vt:lpstr>
      <vt:lpstr>BASE DATOS</vt:lpstr>
      <vt:lpstr>ABONOS</vt:lpstr>
      <vt:lpstr>DESISTIDOS</vt:lpstr>
      <vt:lpstr>GRAFICAS INFORMES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Beltran</dc:creator>
  <cp:lastModifiedBy>Civil Gesproban</cp:lastModifiedBy>
  <cp:lastPrinted>2025-06-25T14:24:09Z</cp:lastPrinted>
  <dcterms:created xsi:type="dcterms:W3CDTF">2024-05-28T21:40:00Z</dcterms:created>
  <dcterms:modified xsi:type="dcterms:W3CDTF">2026-10-12T20:28:30Z</dcterms:modified>
</cp:coreProperties>
</file>